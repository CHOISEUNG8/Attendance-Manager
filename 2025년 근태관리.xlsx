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4-1121\Desktop\ZENITH\월드베스트 근태관리 프로그램\"/>
    </mc:Choice>
  </mc:AlternateContent>
  <xr:revisionPtr revIDLastSave="0" documentId="13_ncr:1_{0E4AA84C-9A15-4AF6-A77B-9803D0A25280}" xr6:coauthVersionLast="46" xr6:coauthVersionMax="47" xr10:uidLastSave="{00000000-0000-0000-0000-000000000000}"/>
  <bookViews>
    <workbookView xWindow="-108" yWindow="-108" windowWidth="23256" windowHeight="12456" activeTab="10" xr2:uid="{EF375F51-2E49-4A4D-8011-67392A8DF42D}"/>
  </bookViews>
  <sheets>
    <sheet name="연차집계표-최종" sheetId="1" r:id="rId1"/>
    <sheet name="1월" sheetId="2" r:id="rId2"/>
    <sheet name="2월" sheetId="3" r:id="rId3"/>
    <sheet name="3월" sheetId="4" r:id="rId4"/>
    <sheet name="4월" sheetId="5" r:id="rId5"/>
    <sheet name="5월" sheetId="6" r:id="rId6"/>
    <sheet name="6월" sheetId="7" r:id="rId7"/>
    <sheet name="7월" sheetId="8" r:id="rId8"/>
    <sheet name="8월" sheetId="9" r:id="rId9"/>
    <sheet name="9월" sheetId="10" r:id="rId10"/>
    <sheet name="10월" sheetId="11" r:id="rId11"/>
  </sheets>
  <definedNames>
    <definedName name="_xlnm.Print_Area" localSheetId="0">'연차집계표-최종'!$A$1:$T$34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0" i="1" l="1"/>
  <c r="R11" i="1"/>
  <c r="T11" i="1" s="1"/>
  <c r="R7" i="1"/>
  <c r="AO38" i="11"/>
  <c r="AN38" i="11"/>
  <c r="AO36" i="11"/>
  <c r="AN36" i="11"/>
  <c r="AO34" i="11"/>
  <c r="AN34" i="11"/>
  <c r="AO32" i="11" l="1"/>
  <c r="AN32" i="11"/>
  <c r="AO30" i="11"/>
  <c r="AN30" i="11"/>
  <c r="AO28" i="11"/>
  <c r="AN28" i="11"/>
  <c r="AO26" i="11"/>
  <c r="AN26" i="11"/>
  <c r="AO24" i="11"/>
  <c r="AN24" i="11"/>
  <c r="AO22" i="11"/>
  <c r="AN22" i="11"/>
  <c r="AO20" i="11"/>
  <c r="AN20" i="11"/>
  <c r="AO18" i="11"/>
  <c r="AN18" i="11"/>
  <c r="AO16" i="11"/>
  <c r="AN16" i="11"/>
  <c r="AO14" i="11"/>
  <c r="AN14" i="11"/>
  <c r="AO12" i="11"/>
  <c r="AN12" i="11"/>
  <c r="AO8" i="11"/>
  <c r="AO10" i="11"/>
  <c r="AN10" i="11"/>
  <c r="AN8" i="11"/>
  <c r="AO6" i="11"/>
  <c r="AN6" i="11"/>
  <c r="AO4" i="11"/>
  <c r="AN4" i="11"/>
  <c r="R13" i="1"/>
  <c r="T13" i="1" s="1"/>
  <c r="AM40" i="11"/>
  <c r="E2" i="11"/>
  <c r="E3" i="11" s="1"/>
  <c r="T29" i="1"/>
  <c r="R21" i="1"/>
  <c r="T21" i="1" s="1"/>
  <c r="AN38" i="10"/>
  <c r="AL40" i="10"/>
  <c r="AN34" i="10"/>
  <c r="AM34" i="10"/>
  <c r="AN32" i="10"/>
  <c r="AM32" i="10"/>
  <c r="AN30" i="10"/>
  <c r="AM30" i="10"/>
  <c r="AN36" i="10"/>
  <c r="AN28" i="10"/>
  <c r="AM38" i="10"/>
  <c r="AM36" i="10"/>
  <c r="AM28" i="10"/>
  <c r="AN26" i="10"/>
  <c r="AN24" i="10"/>
  <c r="AM24" i="10"/>
  <c r="AN22" i="10"/>
  <c r="AN20" i="10"/>
  <c r="AM26" i="10"/>
  <c r="AM22" i="10"/>
  <c r="AM20" i="10"/>
  <c r="AN18" i="10"/>
  <c r="AM18" i="10"/>
  <c r="AN16" i="10"/>
  <c r="AN12" i="10"/>
  <c r="AM12" i="10"/>
  <c r="AM16" i="10"/>
  <c r="AN10" i="10"/>
  <c r="AN14" i="10"/>
  <c r="AM10" i="10"/>
  <c r="AM14" i="10"/>
  <c r="AN8" i="10"/>
  <c r="AM8" i="10"/>
  <c r="AN6" i="10"/>
  <c r="AM6" i="10"/>
  <c r="AN4" i="10"/>
  <c r="AM4" i="10"/>
  <c r="E2" i="10"/>
  <c r="F2" i="10" s="1"/>
  <c r="R22" i="1"/>
  <c r="F2" i="11" l="1"/>
  <c r="F3" i="10"/>
  <c r="G2" i="10"/>
  <c r="E3" i="10"/>
  <c r="R4" i="1"/>
  <c r="T4" i="1" s="1"/>
  <c r="T30" i="1"/>
  <c r="AO38" i="9"/>
  <c r="AN38" i="9"/>
  <c r="AO36" i="9"/>
  <c r="AN36" i="9"/>
  <c r="AO34" i="9"/>
  <c r="AN34" i="9"/>
  <c r="AO28" i="9"/>
  <c r="AN28" i="9"/>
  <c r="AO24" i="9"/>
  <c r="AN24" i="9"/>
  <c r="AO20" i="9"/>
  <c r="AN20" i="9"/>
  <c r="AO18" i="9"/>
  <c r="AN18" i="9"/>
  <c r="AO14" i="9"/>
  <c r="AN14" i="9"/>
  <c r="AO12" i="9"/>
  <c r="AN12" i="9"/>
  <c r="AO10" i="9"/>
  <c r="AN10" i="9"/>
  <c r="AO8" i="9"/>
  <c r="AN8" i="9"/>
  <c r="AO6" i="9"/>
  <c r="AN6" i="9"/>
  <c r="AO32" i="9"/>
  <c r="AO30" i="9"/>
  <c r="AO26" i="9"/>
  <c r="AO22" i="9"/>
  <c r="AN32" i="9"/>
  <c r="AN30" i="9"/>
  <c r="AN26" i="9"/>
  <c r="AN22" i="9"/>
  <c r="AO16" i="9"/>
  <c r="AN16" i="9"/>
  <c r="AO4" i="9"/>
  <c r="AN4" i="9"/>
  <c r="AM40" i="9"/>
  <c r="E2" i="9"/>
  <c r="F2" i="9" s="1"/>
  <c r="R27" i="1"/>
  <c r="AO42" i="8"/>
  <c r="AN42" i="8"/>
  <c r="AO40" i="8"/>
  <c r="AN40" i="8"/>
  <c r="AO38" i="8"/>
  <c r="AN38" i="8"/>
  <c r="AO36" i="8"/>
  <c r="AN36" i="8"/>
  <c r="AO34" i="8"/>
  <c r="AN34" i="8"/>
  <c r="G2" i="11" l="1"/>
  <c r="F3" i="11"/>
  <c r="G3" i="10"/>
  <c r="H2" i="10"/>
  <c r="G2" i="9"/>
  <c r="F3" i="9"/>
  <c r="E3" i="9"/>
  <c r="AO30" i="8"/>
  <c r="AN30" i="8"/>
  <c r="AO28" i="8"/>
  <c r="AN28" i="8"/>
  <c r="AO26" i="8"/>
  <c r="AN26" i="8"/>
  <c r="AN24" i="8"/>
  <c r="AO24" i="8"/>
  <c r="AO22" i="8"/>
  <c r="AN22" i="8"/>
  <c r="AO20" i="8"/>
  <c r="AN20" i="8"/>
  <c r="AO16" i="8"/>
  <c r="AN16" i="8"/>
  <c r="AO32" i="8"/>
  <c r="AO18" i="8"/>
  <c r="AO14" i="8"/>
  <c r="AO12" i="8"/>
  <c r="AO10" i="8"/>
  <c r="AO8" i="8"/>
  <c r="AO6" i="8"/>
  <c r="AO4" i="8"/>
  <c r="AN4" i="8"/>
  <c r="AN32" i="8"/>
  <c r="AN18" i="8"/>
  <c r="AN14" i="8"/>
  <c r="AN12" i="8"/>
  <c r="AN10" i="8"/>
  <c r="AN8" i="8"/>
  <c r="AN6" i="8"/>
  <c r="AM44" i="8"/>
  <c r="E2" i="8"/>
  <c r="F2" i="8" s="1"/>
  <c r="R25" i="1"/>
  <c r="R6" i="1"/>
  <c r="E3" i="8" l="1"/>
  <c r="G3" i="11"/>
  <c r="H2" i="11"/>
  <c r="I2" i="10"/>
  <c r="H3" i="10"/>
  <c r="G3" i="9"/>
  <c r="H2" i="9"/>
  <c r="F3" i="8"/>
  <c r="G2" i="8"/>
  <c r="T6" i="1"/>
  <c r="K34" i="1"/>
  <c r="R31" i="1"/>
  <c r="T31" i="1" s="1"/>
  <c r="R17" i="1"/>
  <c r="T17" i="1" s="1"/>
  <c r="R16" i="1"/>
  <c r="T16" i="1" s="1"/>
  <c r="AN42" i="7"/>
  <c r="AN40" i="7"/>
  <c r="AN38" i="7"/>
  <c r="AN36" i="7"/>
  <c r="AN30" i="7"/>
  <c r="AN28" i="7"/>
  <c r="AN26" i="7"/>
  <c r="AN24" i="7"/>
  <c r="AN20" i="7"/>
  <c r="AN16" i="7"/>
  <c r="AN14" i="7"/>
  <c r="AN12" i="7"/>
  <c r="AN10" i="7"/>
  <c r="AN8" i="7"/>
  <c r="AN4" i="7"/>
  <c r="AN34" i="7"/>
  <c r="AN32" i="7"/>
  <c r="AN22" i="7"/>
  <c r="AN18" i="7"/>
  <c r="AN6" i="7"/>
  <c r="AM42" i="7"/>
  <c r="AM40" i="7"/>
  <c r="AM38" i="7"/>
  <c r="AM36" i="7"/>
  <c r="AM30" i="7"/>
  <c r="AM26" i="7"/>
  <c r="AM24" i="7"/>
  <c r="AM20" i="7"/>
  <c r="AM16" i="7"/>
  <c r="AM14" i="7"/>
  <c r="AM12" i="7"/>
  <c r="AM4" i="7"/>
  <c r="AM8" i="7"/>
  <c r="AM6" i="7"/>
  <c r="AM34" i="7"/>
  <c r="AM32" i="7"/>
  <c r="AM28" i="7"/>
  <c r="AM22" i="7"/>
  <c r="AM18" i="7"/>
  <c r="AM10" i="7"/>
  <c r="AL44" i="7"/>
  <c r="AF3" i="7"/>
  <c r="AG3" i="7"/>
  <c r="AH3" i="7"/>
  <c r="E2" i="7"/>
  <c r="F2" i="7" s="1"/>
  <c r="F3" i="7" s="1"/>
  <c r="R20" i="1"/>
  <c r="H3" i="11" l="1"/>
  <c r="I2" i="11"/>
  <c r="J2" i="10"/>
  <c r="I3" i="10"/>
  <c r="H3" i="9"/>
  <c r="I2" i="9"/>
  <c r="G3" i="8"/>
  <c r="H2" i="8"/>
  <c r="E3" i="7"/>
  <c r="G2" i="7"/>
  <c r="G3" i="7" s="1"/>
  <c r="R5" i="1"/>
  <c r="R28" i="1"/>
  <c r="T28" i="1" s="1"/>
  <c r="T27" i="1"/>
  <c r="T22" i="1"/>
  <c r="AO40" i="6"/>
  <c r="AN40" i="6"/>
  <c r="AO38" i="6"/>
  <c r="AN38" i="6"/>
  <c r="AO36" i="6"/>
  <c r="AN36" i="6"/>
  <c r="AO34" i="6"/>
  <c r="AN34" i="6"/>
  <c r="AO32" i="6"/>
  <c r="AO28" i="6"/>
  <c r="AN28" i="6"/>
  <c r="AO26" i="6"/>
  <c r="AO24" i="6"/>
  <c r="AN24" i="6"/>
  <c r="AO22" i="6"/>
  <c r="AO20" i="6"/>
  <c r="AN20" i="6"/>
  <c r="AO16" i="6"/>
  <c r="AN16" i="6"/>
  <c r="AO10" i="6"/>
  <c r="AN10" i="6"/>
  <c r="AO8" i="6"/>
  <c r="AN8" i="6"/>
  <c r="AO6" i="6"/>
  <c r="AN6" i="6"/>
  <c r="AO4" i="6"/>
  <c r="AN4" i="6"/>
  <c r="AO30" i="6"/>
  <c r="AO18" i="6"/>
  <c r="AO14" i="6"/>
  <c r="AO12" i="6"/>
  <c r="AN32" i="6"/>
  <c r="AN30" i="6"/>
  <c r="AN26" i="6"/>
  <c r="AN22" i="6"/>
  <c r="AN18" i="6"/>
  <c r="AN14" i="6"/>
  <c r="AN12" i="6"/>
  <c r="AM42" i="6"/>
  <c r="I3" i="11" l="1"/>
  <c r="J2" i="11"/>
  <c r="J3" i="10"/>
  <c r="K2" i="10"/>
  <c r="J2" i="9"/>
  <c r="I3" i="9"/>
  <c r="I2" i="8"/>
  <c r="H3" i="8"/>
  <c r="H2" i="7"/>
  <c r="H3" i="7" s="1"/>
  <c r="E2" i="6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AE3" i="6" s="1"/>
  <c r="R12" i="1"/>
  <c r="T12" i="1" s="1"/>
  <c r="R33" i="1"/>
  <c r="T33" i="1" s="1"/>
  <c r="T5" i="1"/>
  <c r="AN46" i="5"/>
  <c r="AM46" i="5"/>
  <c r="AN44" i="5"/>
  <c r="AM44" i="5"/>
  <c r="AN42" i="5"/>
  <c r="AM42" i="5"/>
  <c r="AN40" i="5"/>
  <c r="AM40" i="5"/>
  <c r="AN38" i="5"/>
  <c r="AN32" i="5"/>
  <c r="AM32" i="5"/>
  <c r="AM30" i="5"/>
  <c r="AN28" i="5"/>
  <c r="AM28" i="5"/>
  <c r="AN26" i="5"/>
  <c r="AM26" i="5"/>
  <c r="AN24" i="5"/>
  <c r="AM24" i="5"/>
  <c r="AN20" i="5"/>
  <c r="AM20" i="5"/>
  <c r="AN18" i="5"/>
  <c r="AM18" i="5"/>
  <c r="AN16" i="5"/>
  <c r="AM16" i="5"/>
  <c r="AN10" i="5"/>
  <c r="AM10" i="5"/>
  <c r="AN8" i="5"/>
  <c r="AM8" i="5"/>
  <c r="AN6" i="5"/>
  <c r="AM6" i="5"/>
  <c r="AN36" i="5"/>
  <c r="AN34" i="5"/>
  <c r="AN30" i="5"/>
  <c r="AN22" i="5"/>
  <c r="AN14" i="5"/>
  <c r="AN12" i="5"/>
  <c r="AM38" i="5"/>
  <c r="AM36" i="5"/>
  <c r="AM34" i="5"/>
  <c r="AM22" i="5"/>
  <c r="AM14" i="5"/>
  <c r="AM12" i="5"/>
  <c r="AN4" i="5"/>
  <c r="AM4" i="5"/>
  <c r="AL48" i="5"/>
  <c r="E2" i="5"/>
  <c r="F2" i="5" s="1"/>
  <c r="E3" i="5"/>
  <c r="R26" i="1"/>
  <c r="T26" i="1" s="1"/>
  <c r="AM42" i="4"/>
  <c r="AO40" i="4"/>
  <c r="AO38" i="4"/>
  <c r="AN38" i="4"/>
  <c r="AO36" i="4"/>
  <c r="AN36" i="4"/>
  <c r="AO26" i="4"/>
  <c r="AO34" i="4"/>
  <c r="AO32" i="4"/>
  <c r="AN32" i="4"/>
  <c r="AO30" i="4"/>
  <c r="AN30" i="4"/>
  <c r="AO28" i="4"/>
  <c r="AO24" i="4"/>
  <c r="AO22" i="4"/>
  <c r="AO20" i="4"/>
  <c r="AN12" i="4"/>
  <c r="AO14" i="4"/>
  <c r="AN14" i="4"/>
  <c r="AO12" i="4"/>
  <c r="AO10" i="4"/>
  <c r="AO8" i="4"/>
  <c r="AO4" i="4"/>
  <c r="AO18" i="4"/>
  <c r="AN4" i="4"/>
  <c r="AN28" i="4"/>
  <c r="AN26" i="4"/>
  <c r="AN24" i="4"/>
  <c r="AN22" i="4"/>
  <c r="AO16" i="4"/>
  <c r="AN16" i="4"/>
  <c r="AN10" i="4"/>
  <c r="AN8" i="4"/>
  <c r="AN34" i="4"/>
  <c r="AN40" i="4"/>
  <c r="AN20" i="4"/>
  <c r="AN18" i="4"/>
  <c r="AO6" i="4"/>
  <c r="AN6" i="4"/>
  <c r="E2" i="4"/>
  <c r="E3" i="4"/>
  <c r="AL24" i="3"/>
  <c r="F2" i="4"/>
  <c r="G2" i="4" s="1"/>
  <c r="AL40" i="3"/>
  <c r="AL38" i="3"/>
  <c r="AK38" i="3"/>
  <c r="AK40" i="3"/>
  <c r="AL34" i="3"/>
  <c r="AK34" i="3"/>
  <c r="AL36" i="3"/>
  <c r="AK36" i="3"/>
  <c r="AL32" i="3"/>
  <c r="AK32" i="3"/>
  <c r="AL30" i="3"/>
  <c r="F3" i="4"/>
  <c r="AJ42" i="3"/>
  <c r="AK30" i="3"/>
  <c r="AL28" i="3"/>
  <c r="AK28" i="3"/>
  <c r="AL26" i="3"/>
  <c r="AK26" i="3"/>
  <c r="AK24" i="3"/>
  <c r="AK22" i="3"/>
  <c r="AL22" i="3"/>
  <c r="AL20" i="3"/>
  <c r="AK20" i="3"/>
  <c r="AL18" i="3"/>
  <c r="AL10" i="3"/>
  <c r="AL8" i="3"/>
  <c r="AK8" i="3"/>
  <c r="AK18" i="3"/>
  <c r="AK10" i="3"/>
  <c r="AK4" i="3"/>
  <c r="AL4" i="3"/>
  <c r="AL6" i="3"/>
  <c r="AK6" i="3"/>
  <c r="AL12" i="3"/>
  <c r="AK12" i="3"/>
  <c r="AL14" i="3"/>
  <c r="AK14" i="3"/>
  <c r="AL16" i="3"/>
  <c r="AK16" i="3"/>
  <c r="E2" i="3"/>
  <c r="F2" i="3" s="1"/>
  <c r="E3" i="3"/>
  <c r="T20" i="1"/>
  <c r="R8" i="1"/>
  <c r="T8" i="1" s="1"/>
  <c r="R9" i="1"/>
  <c r="T9" i="1" s="1"/>
  <c r="R10" i="1"/>
  <c r="T10" i="1" s="1"/>
  <c r="R3" i="1"/>
  <c r="T3" i="1" s="1"/>
  <c r="F34" i="1"/>
  <c r="AO12" i="2"/>
  <c r="AM42" i="2"/>
  <c r="AO8" i="2"/>
  <c r="AN8" i="2"/>
  <c r="AN12" i="2"/>
  <c r="AO10" i="2"/>
  <c r="AN10" i="2"/>
  <c r="AO6" i="2"/>
  <c r="AN6" i="2"/>
  <c r="AO4" i="2"/>
  <c r="AN4" i="2"/>
  <c r="AO14" i="2"/>
  <c r="AO16" i="2"/>
  <c r="AN14" i="2"/>
  <c r="AN16" i="2"/>
  <c r="AO18" i="2"/>
  <c r="AN18" i="2"/>
  <c r="AO20" i="2"/>
  <c r="AN20" i="2"/>
  <c r="AO22" i="2"/>
  <c r="AN22" i="2"/>
  <c r="AO24" i="2"/>
  <c r="AN24" i="2"/>
  <c r="AO26" i="2"/>
  <c r="AN26" i="2"/>
  <c r="AO28" i="2"/>
  <c r="AN28" i="2"/>
  <c r="AO30" i="2"/>
  <c r="AN30" i="2"/>
  <c r="AO32" i="2"/>
  <c r="AN32" i="2"/>
  <c r="AO34" i="2"/>
  <c r="AN34" i="2"/>
  <c r="AO36" i="2"/>
  <c r="AN36" i="2"/>
  <c r="AO40" i="2"/>
  <c r="AO38" i="2"/>
  <c r="AN38" i="2"/>
  <c r="AN40" i="2"/>
  <c r="Q34" i="1"/>
  <c r="R14" i="1"/>
  <c r="T14" i="1" s="1"/>
  <c r="R15" i="1"/>
  <c r="T15" i="1" s="1"/>
  <c r="R18" i="1"/>
  <c r="T18" i="1" s="1"/>
  <c r="R19" i="1"/>
  <c r="T19" i="1" s="1"/>
  <c r="R23" i="1"/>
  <c r="T23" i="1" s="1"/>
  <c r="R24" i="1"/>
  <c r="T24" i="1" s="1"/>
  <c r="T25" i="1"/>
  <c r="R32" i="1"/>
  <c r="T32" i="1" s="1"/>
  <c r="R2" i="1"/>
  <c r="T2" i="1" s="1"/>
  <c r="L34" i="1"/>
  <c r="J34" i="1"/>
  <c r="I34" i="1"/>
  <c r="H34" i="1"/>
  <c r="G34" i="1"/>
  <c r="E2" i="2"/>
  <c r="F2" i="2" s="1"/>
  <c r="P34" i="1"/>
  <c r="O34" i="1"/>
  <c r="N34" i="1"/>
  <c r="M34" i="1"/>
  <c r="G2" i="3" l="1"/>
  <c r="F3" i="3"/>
  <c r="F3" i="5"/>
  <c r="G2" i="5"/>
  <c r="G2" i="2"/>
  <c r="F3" i="2"/>
  <c r="E3" i="2"/>
  <c r="G3" i="4"/>
  <c r="H2" i="4"/>
  <c r="K2" i="11"/>
  <c r="J3" i="11"/>
  <c r="K3" i="10"/>
  <c r="L2" i="10"/>
  <c r="K2" i="9"/>
  <c r="J3" i="9"/>
  <c r="J2" i="8"/>
  <c r="I3" i="8"/>
  <c r="I2" i="7"/>
  <c r="I3" i="7" s="1"/>
  <c r="L3" i="6"/>
  <c r="AB3" i="6"/>
  <c r="X3" i="6"/>
  <c r="T3" i="6"/>
  <c r="P3" i="6"/>
  <c r="H3" i="6"/>
  <c r="AD3" i="6"/>
  <c r="Z3" i="6"/>
  <c r="V3" i="6"/>
  <c r="R3" i="6"/>
  <c r="N3" i="6"/>
  <c r="J3" i="6"/>
  <c r="AA3" i="6"/>
  <c r="W3" i="6"/>
  <c r="S3" i="6"/>
  <c r="O3" i="6"/>
  <c r="K3" i="6"/>
  <c r="G3" i="6"/>
  <c r="AC3" i="6"/>
  <c r="Y3" i="6"/>
  <c r="U3" i="6"/>
  <c r="Q3" i="6"/>
  <c r="M3" i="6"/>
  <c r="I3" i="6"/>
  <c r="F3" i="6"/>
  <c r="E3" i="6"/>
  <c r="I2" i="4" l="1"/>
  <c r="H3" i="4"/>
  <c r="G3" i="5"/>
  <c r="H2" i="5"/>
  <c r="H2" i="2"/>
  <c r="G3" i="2"/>
  <c r="H2" i="3"/>
  <c r="G3" i="3"/>
  <c r="K3" i="11"/>
  <c r="L2" i="11"/>
  <c r="M2" i="10"/>
  <c r="L3" i="10"/>
  <c r="K3" i="9"/>
  <c r="L2" i="9"/>
  <c r="K2" i="8"/>
  <c r="J3" i="8"/>
  <c r="J2" i="7"/>
  <c r="J3" i="7" s="1"/>
  <c r="I2" i="2" l="1"/>
  <c r="H3" i="2"/>
  <c r="H3" i="5"/>
  <c r="I2" i="5"/>
  <c r="H3" i="3"/>
  <c r="I2" i="3"/>
  <c r="I3" i="4"/>
  <c r="J2" i="4"/>
  <c r="L3" i="11"/>
  <c r="M2" i="11"/>
  <c r="N2" i="10"/>
  <c r="M3" i="10"/>
  <c r="L3" i="9"/>
  <c r="M2" i="9"/>
  <c r="K3" i="8"/>
  <c r="L2" i="8"/>
  <c r="K2" i="7"/>
  <c r="K3" i="7" s="1"/>
  <c r="I3" i="3" l="1"/>
  <c r="J2" i="3"/>
  <c r="I3" i="5"/>
  <c r="J2" i="5"/>
  <c r="K2" i="4"/>
  <c r="J3" i="4"/>
  <c r="I3" i="2"/>
  <c r="J2" i="2"/>
  <c r="M3" i="11"/>
  <c r="N2" i="11"/>
  <c r="N3" i="10"/>
  <c r="O2" i="10"/>
  <c r="N2" i="9"/>
  <c r="M3" i="9"/>
  <c r="M2" i="8"/>
  <c r="L3" i="8"/>
  <c r="L2" i="7"/>
  <c r="L3" i="7" s="1"/>
  <c r="K3" i="4" l="1"/>
  <c r="L2" i="4"/>
  <c r="K2" i="5"/>
  <c r="J3" i="5"/>
  <c r="J3" i="2"/>
  <c r="K2" i="2"/>
  <c r="J3" i="3"/>
  <c r="K2" i="3"/>
  <c r="O2" i="11"/>
  <c r="N3" i="11"/>
  <c r="O3" i="10"/>
  <c r="P2" i="10"/>
  <c r="O2" i="9"/>
  <c r="N3" i="9"/>
  <c r="N2" i="8"/>
  <c r="M3" i="8"/>
  <c r="M2" i="7"/>
  <c r="M3" i="7" s="1"/>
  <c r="K3" i="5" l="1"/>
  <c r="L2" i="5"/>
  <c r="K3" i="3"/>
  <c r="L2" i="3"/>
  <c r="L3" i="4"/>
  <c r="M2" i="4"/>
  <c r="L2" i="2"/>
  <c r="K3" i="2"/>
  <c r="O3" i="11"/>
  <c r="P2" i="11"/>
  <c r="Q2" i="10"/>
  <c r="P3" i="10"/>
  <c r="O3" i="9"/>
  <c r="P2" i="9"/>
  <c r="N3" i="8"/>
  <c r="O2" i="8"/>
  <c r="N2" i="7"/>
  <c r="N3" i="7" s="1"/>
  <c r="L3" i="3" l="1"/>
  <c r="M2" i="3"/>
  <c r="L3" i="5"/>
  <c r="M2" i="5"/>
  <c r="L3" i="2"/>
  <c r="M2" i="2"/>
  <c r="M3" i="4"/>
  <c r="N2" i="4"/>
  <c r="P3" i="11"/>
  <c r="Q2" i="11"/>
  <c r="R2" i="10"/>
  <c r="Q3" i="10"/>
  <c r="P3" i="9"/>
  <c r="Q2" i="9"/>
  <c r="O3" i="8"/>
  <c r="P2" i="8"/>
  <c r="O2" i="7"/>
  <c r="O3" i="7" s="1"/>
  <c r="N2" i="5" l="1"/>
  <c r="M3" i="5"/>
  <c r="O2" i="4"/>
  <c r="N3" i="4"/>
  <c r="M3" i="3"/>
  <c r="N2" i="3"/>
  <c r="M3" i="2"/>
  <c r="N2" i="2"/>
  <c r="Q3" i="11"/>
  <c r="R2" i="11"/>
  <c r="R3" i="10"/>
  <c r="S2" i="10"/>
  <c r="R2" i="9"/>
  <c r="Q3" i="9"/>
  <c r="P3" i="8"/>
  <c r="Q2" i="8"/>
  <c r="P2" i="7"/>
  <c r="P3" i="7" s="1"/>
  <c r="P2" i="4" l="1"/>
  <c r="O3" i="4"/>
  <c r="O2" i="2"/>
  <c r="N3" i="2"/>
  <c r="N3" i="5"/>
  <c r="O2" i="5"/>
  <c r="O2" i="3"/>
  <c r="N3" i="3"/>
  <c r="S2" i="11"/>
  <c r="R3" i="11"/>
  <c r="S3" i="10"/>
  <c r="T2" i="10"/>
  <c r="S2" i="9"/>
  <c r="R3" i="9"/>
  <c r="R2" i="8"/>
  <c r="Q3" i="8"/>
  <c r="Q2" i="7"/>
  <c r="Q3" i="7" s="1"/>
  <c r="O3" i="2" l="1"/>
  <c r="P2" i="2"/>
  <c r="P2" i="3"/>
  <c r="O3" i="3"/>
  <c r="Q2" i="4"/>
  <c r="P3" i="4"/>
  <c r="O3" i="5"/>
  <c r="P2" i="5"/>
  <c r="S3" i="11"/>
  <c r="T2" i="11"/>
  <c r="U2" i="10"/>
  <c r="T3" i="10"/>
  <c r="S3" i="9"/>
  <c r="T2" i="9"/>
  <c r="R3" i="8"/>
  <c r="S2" i="8"/>
  <c r="R2" i="7"/>
  <c r="R3" i="7" s="1"/>
  <c r="P3" i="3" l="1"/>
  <c r="Q2" i="3"/>
  <c r="P3" i="5"/>
  <c r="Q2" i="5"/>
  <c r="Q2" i="2"/>
  <c r="P3" i="2"/>
  <c r="Q3" i="4"/>
  <c r="R2" i="4"/>
  <c r="T3" i="11"/>
  <c r="U2" i="11"/>
  <c r="V2" i="10"/>
  <c r="U3" i="10"/>
  <c r="T3" i="9"/>
  <c r="U2" i="9"/>
  <c r="S3" i="8"/>
  <c r="T2" i="8"/>
  <c r="S2" i="7"/>
  <c r="S3" i="7" s="1"/>
  <c r="R2" i="2" l="1"/>
  <c r="Q3" i="2"/>
  <c r="Q3" i="5"/>
  <c r="R2" i="5"/>
  <c r="R3" i="4"/>
  <c r="S2" i="4"/>
  <c r="R2" i="3"/>
  <c r="Q3" i="3"/>
  <c r="U3" i="11"/>
  <c r="V2" i="11"/>
  <c r="V3" i="10"/>
  <c r="W2" i="10"/>
  <c r="V2" i="9"/>
  <c r="U3" i="9"/>
  <c r="U2" i="8"/>
  <c r="T3" i="8"/>
  <c r="T2" i="7"/>
  <c r="T3" i="7" s="1"/>
  <c r="R3" i="5" l="1"/>
  <c r="S2" i="5"/>
  <c r="S2" i="3"/>
  <c r="R3" i="3"/>
  <c r="S2" i="2"/>
  <c r="R3" i="2"/>
  <c r="S3" i="4"/>
  <c r="T2" i="4"/>
  <c r="W2" i="11"/>
  <c r="V3" i="11"/>
  <c r="W3" i="10"/>
  <c r="X2" i="10"/>
  <c r="W2" i="9"/>
  <c r="V3" i="9"/>
  <c r="V2" i="8"/>
  <c r="U3" i="8"/>
  <c r="U2" i="7"/>
  <c r="U3" i="7" s="1"/>
  <c r="T2" i="2" l="1"/>
  <c r="S3" i="2"/>
  <c r="S3" i="3"/>
  <c r="T2" i="3"/>
  <c r="U2" i="4"/>
  <c r="T3" i="4"/>
  <c r="S3" i="5"/>
  <c r="T2" i="5"/>
  <c r="W3" i="11"/>
  <c r="X2" i="11"/>
  <c r="Y2" i="10"/>
  <c r="X3" i="10"/>
  <c r="W3" i="9"/>
  <c r="X2" i="9"/>
  <c r="W2" i="8"/>
  <c r="V3" i="8"/>
  <c r="V2" i="7"/>
  <c r="V3" i="7" s="1"/>
  <c r="V2" i="4" l="1"/>
  <c r="U3" i="4"/>
  <c r="T3" i="3"/>
  <c r="U2" i="3"/>
  <c r="U2" i="5"/>
  <c r="T3" i="5"/>
  <c r="T3" i="2"/>
  <c r="U2" i="2"/>
  <c r="X3" i="11"/>
  <c r="Y2" i="11"/>
  <c r="Z2" i="10"/>
  <c r="Y3" i="10"/>
  <c r="X3" i="9"/>
  <c r="Y2" i="9"/>
  <c r="W3" i="8"/>
  <c r="X2" i="8"/>
  <c r="W2" i="7"/>
  <c r="W3" i="7" s="1"/>
  <c r="V2" i="5" l="1"/>
  <c r="U3" i="5"/>
  <c r="U3" i="3"/>
  <c r="V2" i="3"/>
  <c r="U3" i="2"/>
  <c r="V2" i="2"/>
  <c r="W2" i="4"/>
  <c r="V3" i="4"/>
  <c r="Y3" i="11"/>
  <c r="Z2" i="11"/>
  <c r="Z3" i="10"/>
  <c r="AA2" i="10"/>
  <c r="Z2" i="9"/>
  <c r="Y3" i="9"/>
  <c r="Y2" i="8"/>
  <c r="X3" i="8"/>
  <c r="X2" i="7"/>
  <c r="X3" i="7" s="1"/>
  <c r="V3" i="2" l="1"/>
  <c r="W2" i="2"/>
  <c r="W2" i="3"/>
  <c r="V3" i="3"/>
  <c r="W3" i="4"/>
  <c r="X2" i="4"/>
  <c r="W2" i="5"/>
  <c r="V3" i="5"/>
  <c r="AA2" i="11"/>
  <c r="Z3" i="11"/>
  <c r="AA3" i="10"/>
  <c r="AB2" i="10"/>
  <c r="AA2" i="9"/>
  <c r="Z3" i="9"/>
  <c r="Z2" i="8"/>
  <c r="Y3" i="8"/>
  <c r="Y2" i="7"/>
  <c r="Y3" i="7" s="1"/>
  <c r="W3" i="3" l="1"/>
  <c r="X2" i="3"/>
  <c r="X2" i="2"/>
  <c r="W3" i="2"/>
  <c r="X2" i="5"/>
  <c r="W3" i="5"/>
  <c r="X3" i="4"/>
  <c r="Y2" i="4"/>
  <c r="AA3" i="11"/>
  <c r="AB2" i="11"/>
  <c r="AC2" i="10"/>
  <c r="AB3" i="10"/>
  <c r="AA3" i="9"/>
  <c r="AB2" i="9"/>
  <c r="Z3" i="8"/>
  <c r="AA2" i="8"/>
  <c r="Z2" i="7"/>
  <c r="Z3" i="7" s="1"/>
  <c r="Y2" i="2" l="1"/>
  <c r="X3" i="2"/>
  <c r="Y3" i="4"/>
  <c r="Z2" i="4"/>
  <c r="Y2" i="3"/>
  <c r="X3" i="3"/>
  <c r="X3" i="5"/>
  <c r="Y2" i="5"/>
  <c r="AB3" i="11"/>
  <c r="AC2" i="11"/>
  <c r="AD2" i="10"/>
  <c r="AC3" i="10"/>
  <c r="AB3" i="9"/>
  <c r="AC2" i="9"/>
  <c r="AA3" i="8"/>
  <c r="AB2" i="8"/>
  <c r="AA2" i="7"/>
  <c r="AA3" i="7" s="1"/>
  <c r="Z2" i="3" l="1"/>
  <c r="Y3" i="3"/>
  <c r="Z3" i="4"/>
  <c r="AA2" i="4"/>
  <c r="Y3" i="5"/>
  <c r="Z2" i="5"/>
  <c r="Y3" i="2"/>
  <c r="Z2" i="2"/>
  <c r="AC3" i="11"/>
  <c r="AD2" i="11"/>
  <c r="AD3" i="10"/>
  <c r="AE2" i="10"/>
  <c r="AD2" i="9"/>
  <c r="AC3" i="9"/>
  <c r="AC2" i="8"/>
  <c r="AB3" i="8"/>
  <c r="AB2" i="7"/>
  <c r="AB3" i="7" s="1"/>
  <c r="Z3" i="5" l="1"/>
  <c r="AA2" i="5"/>
  <c r="AB2" i="4"/>
  <c r="AA3" i="4"/>
  <c r="Z3" i="2"/>
  <c r="AA2" i="2"/>
  <c r="AA2" i="3"/>
  <c r="Z3" i="3"/>
  <c r="AE2" i="11"/>
  <c r="AD3" i="11"/>
  <c r="AE3" i="10"/>
  <c r="AF2" i="10"/>
  <c r="AE2" i="9"/>
  <c r="AD3" i="9"/>
  <c r="AD2" i="8"/>
  <c r="AC3" i="8"/>
  <c r="AC2" i="7"/>
  <c r="AC3" i="7" s="1"/>
  <c r="AB2" i="2" l="1"/>
  <c r="AA3" i="2"/>
  <c r="AC2" i="4"/>
  <c r="AB3" i="4"/>
  <c r="AB2" i="5"/>
  <c r="AA3" i="5"/>
  <c r="AA3" i="3"/>
  <c r="AB2" i="3"/>
  <c r="AE3" i="11"/>
  <c r="AF2" i="11"/>
  <c r="AG2" i="10"/>
  <c r="AF3" i="10"/>
  <c r="AE3" i="9"/>
  <c r="AF2" i="9"/>
  <c r="AD3" i="8"/>
  <c r="AE2" i="8"/>
  <c r="AD2" i="7"/>
  <c r="AD3" i="7" s="1"/>
  <c r="AB3" i="5" l="1"/>
  <c r="AC2" i="5"/>
  <c r="AC3" i="4"/>
  <c r="AD2" i="4"/>
  <c r="AB3" i="3"/>
  <c r="AC2" i="3"/>
  <c r="AB3" i="2"/>
  <c r="AC2" i="2"/>
  <c r="AF3" i="11"/>
  <c r="AG2" i="11"/>
  <c r="AH2" i="10"/>
  <c r="AG3" i="10"/>
  <c r="AF3" i="9"/>
  <c r="AG2" i="9"/>
  <c r="AE3" i="8"/>
  <c r="AF2" i="8"/>
  <c r="AE2" i="7"/>
  <c r="AE3" i="7" s="1"/>
  <c r="AC3" i="3" l="1"/>
  <c r="AD2" i="3"/>
  <c r="AD3" i="4"/>
  <c r="AE2" i="4"/>
  <c r="AE3" i="4" s="1"/>
  <c r="AD2" i="2"/>
  <c r="AC3" i="2"/>
  <c r="AC3" i="5"/>
  <c r="AD2" i="5"/>
  <c r="AG3" i="11"/>
  <c r="AH2" i="11"/>
  <c r="AH3" i="10"/>
  <c r="AH2" i="9"/>
  <c r="AG3" i="9"/>
  <c r="AF3" i="8"/>
  <c r="AG2" i="8"/>
  <c r="AD3" i="2" l="1"/>
  <c r="AE2" i="2"/>
  <c r="AD3" i="5"/>
  <c r="AE2" i="5"/>
  <c r="AE3" i="5" s="1"/>
  <c r="AD3" i="3"/>
  <c r="AE2" i="3"/>
  <c r="AH3" i="11"/>
  <c r="AI2" i="11"/>
  <c r="AI3" i="11" s="1"/>
  <c r="AI2" i="9"/>
  <c r="AI3" i="9" s="1"/>
  <c r="AH3" i="9"/>
  <c r="AH2" i="8"/>
  <c r="AG3" i="8"/>
  <c r="AF2" i="2" l="1"/>
  <c r="AE3" i="2"/>
  <c r="AE3" i="3"/>
  <c r="AF2" i="3"/>
  <c r="AF3" i="3" s="1"/>
  <c r="AI2" i="8"/>
  <c r="AI3" i="8" s="1"/>
  <c r="AH3" i="8"/>
  <c r="AG2" i="2" l="1"/>
  <c r="AF3" i="2"/>
  <c r="AG3" i="2" l="1"/>
  <c r="AH2" i="2"/>
  <c r="AH3" i="2" l="1"/>
  <c r="AI2" i="2"/>
  <c r="AI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7" authorId="0" shapeId="0" xr:uid="{459EA120-E131-462F-819A-EEAD1BDF312A}">
      <text>
        <r>
          <rPr>
            <b/>
            <sz val="9"/>
            <color indexed="81"/>
            <rFont val="Tahoma"/>
            <family val="2"/>
          </rPr>
          <t xml:space="preserve">10.30 </t>
        </r>
        <r>
          <rPr>
            <b/>
            <sz val="9"/>
            <color indexed="81"/>
            <rFont val="돋움"/>
            <family val="3"/>
            <charset val="129"/>
          </rPr>
          <t>오후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사용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1" authorId="0" shapeId="0" xr:uid="{32D6996B-9217-4A39-8C90-B48D84B1753D}">
      <text>
        <r>
          <rPr>
            <b/>
            <sz val="9"/>
            <color indexed="81"/>
            <rFont val="Tahoma"/>
            <family val="2"/>
          </rPr>
          <t xml:space="preserve">10.16 </t>
        </r>
        <r>
          <rPr>
            <b/>
            <sz val="9"/>
            <color indexed="81"/>
            <rFont val="돋움"/>
            <family val="3"/>
            <charset val="129"/>
          </rPr>
          <t xml:space="preserve">연차사용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X4" authorId="0" shapeId="0" xr:uid="{103ED8F3-CB93-4862-9D5A-9C03B4D8CF9D}">
      <text>
        <r>
          <rPr>
            <b/>
            <sz val="14"/>
            <color indexed="81"/>
            <rFont val="돋움"/>
            <family val="3"/>
            <charset val="129"/>
          </rPr>
          <t>푸드웨어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미팅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출근</t>
        </r>
      </text>
    </comment>
    <comment ref="W29" authorId="0" shapeId="0" xr:uid="{72D2111D-26ED-458B-9962-3FD93C00C0B5}">
      <text>
        <r>
          <rPr>
            <b/>
            <sz val="12"/>
            <color indexed="81"/>
            <rFont val="돋움"/>
            <family val="3"/>
            <charset val="129"/>
          </rPr>
          <t>라디스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회의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무역협회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12"/>
            <color indexed="81"/>
            <rFont val="돋움"/>
            <family val="3"/>
            <charset val="129"/>
          </rPr>
          <t>방문</t>
        </r>
      </text>
    </comment>
    <comment ref="V30" authorId="0" shapeId="0" xr:uid="{93A3904E-010C-438E-925B-4D305A559521}">
      <text>
        <r>
          <rPr>
            <b/>
            <sz val="12"/>
            <color indexed="81"/>
            <rFont val="돋움"/>
            <family val="3"/>
            <charset val="129"/>
          </rPr>
          <t xml:space="preserve">중고차 거래처 미팅 후 출근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B10" authorId="0" shapeId="0" xr:uid="{FAEAFD3C-5240-4078-AD23-1107B3236AD3}">
      <text>
        <r>
          <rPr>
            <b/>
            <sz val="12"/>
            <color indexed="81"/>
            <rFont val="돋움"/>
            <family val="3"/>
            <charset val="129"/>
          </rPr>
          <t>병원진료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R4" authorId="0" shapeId="0" xr:uid="{52E02C1D-BFE1-4D05-B1CC-CFC076868B52}">
      <text>
        <r>
          <rPr>
            <b/>
            <sz val="10"/>
            <color indexed="81"/>
            <rFont val="돋움"/>
            <family val="3"/>
            <charset val="129"/>
          </rPr>
          <t>루컴즈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전자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미팅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출근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6" authorId="0" shapeId="0" xr:uid="{4884A248-D677-41ED-8A0F-4BD549589CAD}">
      <text>
        <r>
          <rPr>
            <b/>
            <sz val="10"/>
            <color indexed="81"/>
            <rFont val="돋움"/>
            <family val="3"/>
            <charset val="129"/>
          </rPr>
          <t>루컴즈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전자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미팅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출근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" authorId="0" shapeId="0" xr:uid="{E0E0A53F-8B22-4B01-BD89-8C152858237E}">
      <text>
        <r>
          <rPr>
            <b/>
            <sz val="10"/>
            <color indexed="81"/>
            <rFont val="돋움"/>
            <family val="3"/>
            <charset val="129"/>
          </rPr>
          <t>루컴즈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전자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미팅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출근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8" authorId="0" shapeId="0" xr:uid="{2BCFF6B7-4C20-48D6-9386-9B6FE43C316E}">
      <text>
        <r>
          <rPr>
            <b/>
            <sz val="10"/>
            <color indexed="81"/>
            <rFont val="돋움"/>
            <family val="3"/>
            <charset val="129"/>
          </rPr>
          <t>장염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AH10" authorId="0" shapeId="0" xr:uid="{578B0DF9-35F7-465A-A66A-B74E5FDB063C}">
      <text>
        <r>
          <rPr>
            <b/>
            <sz val="10"/>
            <color indexed="81"/>
            <rFont val="돋움"/>
            <family val="3"/>
            <charset val="129"/>
          </rPr>
          <t>루컴즈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전자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미팅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출근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C4" authorId="0" shapeId="0" xr:uid="{7F110607-AB4C-4EC4-AF81-758EB64F5430}">
      <text>
        <r>
          <rPr>
            <b/>
            <sz val="11"/>
            <color indexed="81"/>
            <rFont val="돋움"/>
            <family val="3"/>
            <charset val="129"/>
          </rPr>
          <t>소노스퀘어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오전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미팅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바로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 xml:space="preserve">출근
</t>
        </r>
      </text>
    </comment>
    <comment ref="T30" authorId="0" shapeId="0" xr:uid="{EA0443DD-69CF-4823-8D0A-47D9123B75F1}">
      <text>
        <r>
          <rPr>
            <b/>
            <sz val="9"/>
            <color indexed="81"/>
            <rFont val="돋움"/>
            <family val="3"/>
            <charset val="129"/>
          </rPr>
          <t>병가로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</text>
    </comment>
    <comment ref="U30" authorId="0" shapeId="0" xr:uid="{55DCD56A-0901-454C-920F-E23E093E836B}">
      <text>
        <r>
          <rPr>
            <b/>
            <sz val="9"/>
            <color indexed="81"/>
            <rFont val="돋움"/>
            <family val="3"/>
            <charset val="129"/>
          </rPr>
          <t>병가로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</text>
    </comment>
  </commentList>
</comments>
</file>

<file path=xl/sharedStrings.xml><?xml version="1.0" encoding="utf-8"?>
<sst xmlns="http://schemas.openxmlformats.org/spreadsheetml/2006/main" count="11052" uniqueCount="581">
  <si>
    <t>부서</t>
  </si>
  <si>
    <t>직급</t>
  </si>
  <si>
    <t>이름</t>
  </si>
  <si>
    <t>입사일</t>
    <phoneticPr fontId="5" type="noConversion"/>
  </si>
  <si>
    <t>1월</t>
    <phoneticPr fontId="5" type="noConversion"/>
  </si>
  <si>
    <t>2월</t>
  </si>
  <si>
    <t>3월</t>
    <phoneticPr fontId="5" type="noConversion"/>
  </si>
  <si>
    <t>4월</t>
  </si>
  <si>
    <t>5월</t>
  </si>
  <si>
    <t>6월</t>
  </si>
  <si>
    <t>7월</t>
  </si>
  <si>
    <t>8월</t>
    <phoneticPr fontId="5" type="noConversion"/>
  </si>
  <si>
    <t>9월</t>
    <phoneticPr fontId="5" type="noConversion"/>
  </si>
  <si>
    <t>10월</t>
    <phoneticPr fontId="5" type="noConversion"/>
  </si>
  <si>
    <t>11월</t>
    <phoneticPr fontId="5" type="noConversion"/>
  </si>
  <si>
    <t>연차발생수</t>
    <phoneticPr fontId="5" type="noConversion"/>
  </si>
  <si>
    <t>잔여수</t>
    <phoneticPr fontId="5" type="noConversion"/>
  </si>
  <si>
    <t>경영지원팀</t>
    <phoneticPr fontId="5" type="noConversion"/>
  </si>
  <si>
    <t>이사</t>
    <phoneticPr fontId="5" type="noConversion"/>
  </si>
  <si>
    <t>전금희</t>
    <phoneticPr fontId="5" type="noConversion"/>
  </si>
  <si>
    <t>과장</t>
    <phoneticPr fontId="5" type="noConversion"/>
  </si>
  <si>
    <t>박진성</t>
    <phoneticPr fontId="5" type="noConversion"/>
  </si>
  <si>
    <t>대리</t>
    <phoneticPr fontId="5" type="noConversion"/>
  </si>
  <si>
    <t>김미라</t>
    <phoneticPr fontId="5" type="noConversion"/>
  </si>
  <si>
    <t>프로</t>
    <phoneticPr fontId="5" type="noConversion"/>
  </si>
  <si>
    <t>이혜진</t>
    <phoneticPr fontId="5" type="noConversion"/>
  </si>
  <si>
    <t>맹기열</t>
    <phoneticPr fontId="5" type="noConversion"/>
  </si>
  <si>
    <t>영업팀</t>
    <phoneticPr fontId="5" type="noConversion"/>
  </si>
  <si>
    <t>팀장</t>
    <phoneticPr fontId="5" type="noConversion"/>
  </si>
  <si>
    <t>신동인</t>
    <phoneticPr fontId="5" type="noConversion"/>
  </si>
  <si>
    <t>두보라</t>
    <phoneticPr fontId="5" type="noConversion"/>
  </si>
  <si>
    <t>정태준</t>
    <phoneticPr fontId="5" type="noConversion"/>
  </si>
  <si>
    <t>김행미</t>
    <phoneticPr fontId="16" type="noConversion"/>
  </si>
  <si>
    <t>서민</t>
    <phoneticPr fontId="5" type="noConversion"/>
  </si>
  <si>
    <t>글로벌비즈니스팀</t>
    <phoneticPr fontId="5" type="noConversion"/>
  </si>
  <si>
    <t>오세원</t>
    <phoneticPr fontId="5" type="noConversion"/>
  </si>
  <si>
    <t>황혜선</t>
    <phoneticPr fontId="5" type="noConversion"/>
  </si>
  <si>
    <t>부서</t>
    <phoneticPr fontId="16" type="noConversion"/>
  </si>
  <si>
    <t>직급</t>
    <phoneticPr fontId="16" type="noConversion"/>
  </si>
  <si>
    <t>이름</t>
    <phoneticPr fontId="16" type="noConversion"/>
  </si>
  <si>
    <t>일자</t>
    <phoneticPr fontId="16" type="noConversion"/>
  </si>
  <si>
    <t>08시이전
출근</t>
    <phoneticPr fontId="16" type="noConversion"/>
  </si>
  <si>
    <t>09시이후
출근</t>
    <phoneticPr fontId="16" type="noConversion"/>
  </si>
  <si>
    <t>20시이후
퇴근</t>
    <phoneticPr fontId="16" type="noConversion"/>
  </si>
  <si>
    <t>연차사용</t>
    <phoneticPr fontId="16" type="noConversion"/>
  </si>
  <si>
    <t>평균
 출근시간</t>
    <phoneticPr fontId="16" type="noConversion"/>
  </si>
  <si>
    <t>평균
퇴근시간</t>
    <phoneticPr fontId="16" type="noConversion"/>
  </si>
  <si>
    <t>요일</t>
    <phoneticPr fontId="16" type="noConversion"/>
  </si>
  <si>
    <t>경영지원팀</t>
    <phoneticPr fontId="16" type="noConversion"/>
  </si>
  <si>
    <t>과장</t>
    <phoneticPr fontId="16" type="noConversion"/>
  </si>
  <si>
    <t>박진성</t>
    <phoneticPr fontId="16" type="noConversion"/>
  </si>
  <si>
    <t>출근</t>
    <phoneticPr fontId="16" type="noConversion"/>
  </si>
  <si>
    <t>퇴근</t>
    <phoneticPr fontId="16" type="noConversion"/>
  </si>
  <si>
    <t>대리</t>
    <phoneticPr fontId="16" type="noConversion"/>
  </si>
  <si>
    <t>김미라</t>
    <phoneticPr fontId="16" type="noConversion"/>
  </si>
  <si>
    <t>이혜진</t>
    <phoneticPr fontId="16" type="noConversion"/>
  </si>
  <si>
    <t>프로</t>
    <phoneticPr fontId="16" type="noConversion"/>
  </si>
  <si>
    <t>맹기열</t>
    <phoneticPr fontId="16" type="noConversion"/>
  </si>
  <si>
    <t>영업팀</t>
    <phoneticPr fontId="16" type="noConversion"/>
  </si>
  <si>
    <t>팀장</t>
    <phoneticPr fontId="16" type="noConversion"/>
  </si>
  <si>
    <t>신동인</t>
    <phoneticPr fontId="16" type="noConversion"/>
  </si>
  <si>
    <t>두보라</t>
    <phoneticPr fontId="16" type="noConversion"/>
  </si>
  <si>
    <t>정태준</t>
    <phoneticPr fontId="16" type="noConversion"/>
  </si>
  <si>
    <t>서민</t>
    <phoneticPr fontId="16" type="noConversion"/>
  </si>
  <si>
    <t>글로벌비지니스팀</t>
    <phoneticPr fontId="16" type="noConversion"/>
  </si>
  <si>
    <t>오세원</t>
    <phoneticPr fontId="16" type="noConversion"/>
  </si>
  <si>
    <t>황혜선</t>
    <phoneticPr fontId="16" type="noConversion"/>
  </si>
  <si>
    <t>파트장</t>
    <phoneticPr fontId="16" type="noConversion"/>
  </si>
  <si>
    <t>08:50</t>
  </si>
  <si>
    <t>08:46</t>
  </si>
  <si>
    <t/>
  </si>
  <si>
    <t>08:53</t>
  </si>
  <si>
    <t>08:44</t>
  </si>
  <si>
    <t>08:41</t>
  </si>
  <si>
    <t>08:42</t>
  </si>
  <si>
    <t>08:47</t>
  </si>
  <si>
    <t>08:43</t>
  </si>
  <si>
    <t>08:26</t>
  </si>
  <si>
    <t>08:38</t>
  </si>
  <si>
    <t>08:51</t>
  </si>
  <si>
    <t>18:32</t>
  </si>
  <si>
    <t>18:50</t>
  </si>
  <si>
    <t>19:06</t>
  </si>
  <si>
    <t>18:39</t>
  </si>
  <si>
    <t>18:42</t>
  </si>
  <si>
    <t>18:33</t>
  </si>
  <si>
    <t>18:45</t>
  </si>
  <si>
    <t>18:48</t>
  </si>
  <si>
    <t>18:31</t>
  </si>
  <si>
    <t>18:35</t>
  </si>
  <si>
    <t>18:41</t>
  </si>
  <si>
    <t>18:37</t>
  </si>
  <si>
    <t>18:43</t>
  </si>
  <si>
    <t>08:40</t>
  </si>
  <si>
    <t>08:39</t>
  </si>
  <si>
    <t>08:37</t>
  </si>
  <si>
    <t>08:27</t>
  </si>
  <si>
    <t>08:32</t>
  </si>
  <si>
    <t>18:55</t>
  </si>
  <si>
    <t>08:35</t>
  </si>
  <si>
    <t>08:36</t>
  </si>
  <si>
    <t>18:34</t>
  </si>
  <si>
    <t>18:36</t>
  </si>
  <si>
    <t>18:38</t>
  </si>
  <si>
    <t>17:10</t>
  </si>
  <si>
    <t>19:29</t>
  </si>
  <si>
    <t>08:15</t>
  </si>
  <si>
    <t>07:39</t>
  </si>
  <si>
    <t>07:54</t>
  </si>
  <si>
    <t>08:20</t>
  </si>
  <si>
    <t>08:25</t>
  </si>
  <si>
    <t>07:50</t>
  </si>
  <si>
    <t>19:19</t>
  </si>
  <si>
    <t>19:43</t>
  </si>
  <si>
    <t>19:24</t>
  </si>
  <si>
    <t>19:28</t>
  </si>
  <si>
    <t>18:53</t>
  </si>
  <si>
    <t>19:20</t>
  </si>
  <si>
    <t>20:14</t>
  </si>
  <si>
    <t>08:45</t>
  </si>
  <si>
    <t>08:49</t>
  </si>
  <si>
    <t>08:52</t>
  </si>
  <si>
    <t>08:57</t>
  </si>
  <si>
    <t>18:40</t>
  </si>
  <si>
    <t>08:24</t>
  </si>
  <si>
    <t>08:02</t>
  </si>
  <si>
    <t>19:26</t>
  </si>
  <si>
    <t>19:23</t>
  </si>
  <si>
    <t>19:48</t>
  </si>
  <si>
    <t>20:01</t>
  </si>
  <si>
    <t>21:09</t>
  </si>
  <si>
    <t>19:39</t>
  </si>
  <si>
    <t>19:51</t>
  </si>
  <si>
    <t>21:12</t>
  </si>
  <si>
    <t>08:31</t>
  </si>
  <si>
    <t>08:54</t>
  </si>
  <si>
    <t>08:23</t>
  </si>
  <si>
    <t>08:29</t>
  </si>
  <si>
    <t>07:51</t>
  </si>
  <si>
    <t>08:22</t>
  </si>
  <si>
    <t>08:17</t>
  </si>
  <si>
    <t>18:51</t>
  </si>
  <si>
    <t>08:30</t>
  </si>
  <si>
    <t>08:33</t>
  </si>
  <si>
    <t>19:16</t>
  </si>
  <si>
    <t>19:30</t>
  </si>
  <si>
    <t>19:04</t>
  </si>
  <si>
    <t>18:47</t>
  </si>
  <si>
    <t>19:47</t>
  </si>
  <si>
    <t>08:58</t>
  </si>
  <si>
    <t>18:44</t>
  </si>
  <si>
    <t>18:52</t>
  </si>
  <si>
    <t>08:48</t>
  </si>
  <si>
    <t>19:08</t>
  </si>
  <si>
    <t>19:02</t>
  </si>
  <si>
    <t>19:54</t>
  </si>
  <si>
    <t>08:55</t>
  </si>
  <si>
    <t>19:09</t>
  </si>
  <si>
    <t>18:46</t>
  </si>
  <si>
    <t>19:32</t>
  </si>
  <si>
    <t>08:56</t>
  </si>
  <si>
    <t>08:59</t>
  </si>
  <si>
    <t>09:00</t>
  </si>
  <si>
    <t>09:01</t>
  </si>
  <si>
    <t>18:13</t>
  </si>
  <si>
    <t>18:57</t>
  </si>
  <si>
    <t>18:59</t>
  </si>
  <si>
    <t>19:33</t>
  </si>
  <si>
    <t>18:19</t>
  </si>
  <si>
    <t>18:49</t>
  </si>
  <si>
    <t>19:15</t>
  </si>
  <si>
    <t>19:58</t>
  </si>
  <si>
    <t>20:04</t>
  </si>
  <si>
    <t>18:58</t>
  </si>
  <si>
    <t>08:01</t>
  </si>
  <si>
    <t>19:53</t>
  </si>
  <si>
    <t>연차</t>
    <phoneticPr fontId="5" type="noConversion"/>
  </si>
  <si>
    <t>강지승</t>
    <phoneticPr fontId="5" type="noConversion"/>
  </si>
  <si>
    <t>19:36</t>
  </si>
  <si>
    <t>08:34</t>
  </si>
  <si>
    <t>07:35</t>
  </si>
  <si>
    <t>07:26</t>
  </si>
  <si>
    <t>07:29</t>
  </si>
  <si>
    <t>20:09</t>
  </si>
  <si>
    <t>18:09</t>
  </si>
  <si>
    <t>19:27</t>
  </si>
  <si>
    <t>19:17</t>
  </si>
  <si>
    <t>08:06</t>
  </si>
  <si>
    <t>19:21</t>
  </si>
  <si>
    <t>20:06</t>
  </si>
  <si>
    <t>19:37</t>
  </si>
  <si>
    <t>19:41</t>
  </si>
  <si>
    <t>19:00</t>
  </si>
  <si>
    <t>08:21</t>
  </si>
  <si>
    <t>김현경</t>
    <phoneticPr fontId="16" type="noConversion"/>
  </si>
  <si>
    <t>19:25</t>
  </si>
  <si>
    <t>07:55</t>
  </si>
  <si>
    <t>08:08</t>
  </si>
  <si>
    <t>19:49</t>
  </si>
  <si>
    <t>20:02</t>
  </si>
  <si>
    <t>18:14</t>
  </si>
  <si>
    <t>20:10</t>
  </si>
  <si>
    <t>09:38</t>
  </si>
  <si>
    <t>20:51</t>
  </si>
  <si>
    <t>17:17</t>
  </si>
  <si>
    <t>21:06</t>
  </si>
  <si>
    <t>08:04</t>
  </si>
  <si>
    <t>08:10</t>
  </si>
  <si>
    <t>19:40</t>
  </si>
  <si>
    <t>김현경</t>
    <phoneticPr fontId="5" type="noConversion"/>
  </si>
  <si>
    <t>김성완</t>
    <phoneticPr fontId="16" type="noConversion"/>
  </si>
  <si>
    <t>06:58</t>
  </si>
  <si>
    <t>20:33</t>
  </si>
  <si>
    <t>07:20</t>
  </si>
  <si>
    <t>20:03</t>
  </si>
  <si>
    <t>08:18</t>
  </si>
  <si>
    <t>17:12</t>
  </si>
  <si>
    <t>18:25</t>
  </si>
  <si>
    <t>17:09</t>
  </si>
  <si>
    <t>서상원</t>
    <phoneticPr fontId="16" type="noConversion"/>
  </si>
  <si>
    <t>김성완</t>
    <phoneticPr fontId="5" type="noConversion"/>
  </si>
  <si>
    <t>07:23</t>
  </si>
  <si>
    <t>18:07</t>
  </si>
  <si>
    <t>07:12</t>
  </si>
  <si>
    <t>21:07</t>
  </si>
  <si>
    <t>프로</t>
    <phoneticPr fontId="5" type="noConversion"/>
  </si>
  <si>
    <t>서상원</t>
    <phoneticPr fontId="5" type="noConversion"/>
  </si>
  <si>
    <t>이민경</t>
    <phoneticPr fontId="16" type="noConversion"/>
  </si>
  <si>
    <t>18:03</t>
  </si>
  <si>
    <t>18:05</t>
  </si>
  <si>
    <t>07:06</t>
  </si>
  <si>
    <t>07:46</t>
  </si>
  <si>
    <t>09:02</t>
  </si>
  <si>
    <t>07:09</t>
  </si>
  <si>
    <t>18:06</t>
  </si>
  <si>
    <t>18:02</t>
  </si>
  <si>
    <t>07:15</t>
  </si>
  <si>
    <t>17:18</t>
  </si>
  <si>
    <t>06:44</t>
  </si>
  <si>
    <t>이민경</t>
    <phoneticPr fontId="5" type="noConversion"/>
  </si>
  <si>
    <t>18:08</t>
  </si>
  <si>
    <t>17:08</t>
  </si>
  <si>
    <t>오동원</t>
    <phoneticPr fontId="16" type="noConversion"/>
  </si>
  <si>
    <t>김아름벌</t>
    <phoneticPr fontId="16" type="noConversion"/>
  </si>
  <si>
    <t>이지은</t>
    <phoneticPr fontId="16" type="noConversion"/>
  </si>
  <si>
    <t>17:51</t>
  </si>
  <si>
    <t>오동원</t>
    <phoneticPr fontId="5" type="noConversion"/>
  </si>
  <si>
    <t>김아름벌</t>
    <phoneticPr fontId="5" type="noConversion"/>
  </si>
  <si>
    <t>이지은</t>
    <phoneticPr fontId="5" type="noConversion"/>
  </si>
  <si>
    <t>대표</t>
    <phoneticPr fontId="5" type="noConversion"/>
  </si>
  <si>
    <t>김연준</t>
    <phoneticPr fontId="5" type="noConversion"/>
  </si>
  <si>
    <t>대표이사</t>
    <phoneticPr fontId="5" type="noConversion"/>
  </si>
  <si>
    <t>17:25</t>
  </si>
  <si>
    <t>12월</t>
  </si>
  <si>
    <t>조부상</t>
    <phoneticPr fontId="5" type="noConversion"/>
  </si>
  <si>
    <t>17:19</t>
  </si>
  <si>
    <t>22:39</t>
  </si>
  <si>
    <t>07:25</t>
  </si>
  <si>
    <t>14:53</t>
  </si>
  <si>
    <t>09:05</t>
  </si>
  <si>
    <t>06:06</t>
  </si>
  <si>
    <t>06:29</t>
  </si>
  <si>
    <t>06:19</t>
  </si>
  <si>
    <t>07:04</t>
  </si>
  <si>
    <t>06:45</t>
  </si>
  <si>
    <t>07:00</t>
  </si>
  <si>
    <t>18:16</t>
  </si>
  <si>
    <t>16:34</t>
  </si>
  <si>
    <t>16:36</t>
  </si>
  <si>
    <t>21:35</t>
  </si>
  <si>
    <t>20:50</t>
  </si>
  <si>
    <t>22:07</t>
  </si>
  <si>
    <t>강지승</t>
    <phoneticPr fontId="5" type="noConversion"/>
  </si>
  <si>
    <t>15:37</t>
  </si>
  <si>
    <t>15:57</t>
  </si>
  <si>
    <t>16:58</t>
  </si>
  <si>
    <t>09:07</t>
  </si>
  <si>
    <t>17:14</t>
  </si>
  <si>
    <t>16:28</t>
  </si>
  <si>
    <t>반차</t>
    <phoneticPr fontId="5" type="noConversion"/>
  </si>
  <si>
    <t>2</t>
    <phoneticPr fontId="5" type="noConversion"/>
  </si>
  <si>
    <t>6</t>
    <phoneticPr fontId="5" type="noConversion"/>
  </si>
  <si>
    <t>1</t>
    <phoneticPr fontId="5" type="noConversion"/>
  </si>
  <si>
    <t>10</t>
    <phoneticPr fontId="5" type="noConversion"/>
  </si>
  <si>
    <t>3</t>
    <phoneticPr fontId="5" type="noConversion"/>
  </si>
  <si>
    <t>3</t>
    <phoneticPr fontId="5" type="noConversion"/>
  </si>
  <si>
    <t>2024년
남은연차</t>
    <phoneticPr fontId="5" type="noConversion"/>
  </si>
  <si>
    <t>2025년
 사용연차</t>
    <phoneticPr fontId="5" type="noConversion"/>
  </si>
  <si>
    <t>09:18</t>
  </si>
  <si>
    <t>19:42</t>
  </si>
  <si>
    <t>19:12</t>
  </si>
  <si>
    <t>17:05</t>
  </si>
  <si>
    <t>18:04</t>
  </si>
  <si>
    <t>11:18</t>
  </si>
  <si>
    <t>19:22</t>
  </si>
  <si>
    <t>19:38</t>
  </si>
  <si>
    <t>19:59</t>
  </si>
  <si>
    <t>20:05</t>
  </si>
  <si>
    <t>20:12</t>
  </si>
  <si>
    <t>07:52</t>
  </si>
  <si>
    <t>08:09</t>
  </si>
  <si>
    <t>08:05</t>
  </si>
  <si>
    <t>07:56</t>
  </si>
  <si>
    <t>08:00</t>
  </si>
  <si>
    <t>07:57</t>
  </si>
  <si>
    <t>19:13</t>
  </si>
  <si>
    <t>19:14</t>
  </si>
  <si>
    <t>19:10</t>
  </si>
  <si>
    <t>19:18</t>
  </si>
  <si>
    <t>18:54</t>
  </si>
  <si>
    <t>19:07</t>
  </si>
  <si>
    <t>08:28</t>
  </si>
  <si>
    <t>18:30</t>
  </si>
  <si>
    <t>17:02</t>
  </si>
  <si>
    <t>20:19</t>
  </si>
  <si>
    <t>06:56</t>
  </si>
  <si>
    <t>07:18</t>
  </si>
  <si>
    <t>07:47</t>
  </si>
  <si>
    <t>07:32</t>
  </si>
  <si>
    <t>07:03</t>
  </si>
  <si>
    <t>07:19</t>
  </si>
  <si>
    <t>11:29</t>
  </si>
  <si>
    <t>07:21</t>
  </si>
  <si>
    <t>06:53</t>
  </si>
  <si>
    <t>07:07</t>
  </si>
  <si>
    <t>06:48</t>
  </si>
  <si>
    <t>19:01</t>
  </si>
  <si>
    <t>19:05</t>
  </si>
  <si>
    <t>20:20</t>
  </si>
  <si>
    <t>21:03</t>
  </si>
  <si>
    <t>20:45</t>
  </si>
  <si>
    <t>20:00</t>
  </si>
  <si>
    <t>20:35</t>
  </si>
  <si>
    <t>19:55</t>
  </si>
  <si>
    <t>19:31</t>
  </si>
  <si>
    <t>17:58</t>
  </si>
  <si>
    <t>09:13</t>
  </si>
  <si>
    <t>18:18</t>
  </si>
  <si>
    <t>19:03</t>
  </si>
  <si>
    <t>19:50</t>
  </si>
  <si>
    <t>17:20</t>
  </si>
  <si>
    <t>17:21</t>
  </si>
  <si>
    <t>18:22</t>
  </si>
  <si>
    <t>19:11</t>
  </si>
  <si>
    <t>17:07</t>
  </si>
  <si>
    <t>08:12</t>
  </si>
  <si>
    <t>08:19</t>
  </si>
  <si>
    <t>17:35</t>
  </si>
  <si>
    <t>14:22</t>
  </si>
  <si>
    <t>19:52</t>
  </si>
  <si>
    <t>07:59</t>
  </si>
  <si>
    <t>교육</t>
    <phoneticPr fontId="5" type="noConversion"/>
  </si>
  <si>
    <t>베트남 출장
(2.25-3.3)</t>
    <phoneticPr fontId="5" type="noConversion"/>
  </si>
  <si>
    <t>18</t>
    <phoneticPr fontId="5" type="noConversion"/>
  </si>
  <si>
    <t>1</t>
    <phoneticPr fontId="5" type="noConversion"/>
  </si>
  <si>
    <t>11</t>
    <phoneticPr fontId="5" type="noConversion"/>
  </si>
  <si>
    <t>2</t>
    <phoneticPr fontId="5" type="noConversion"/>
  </si>
  <si>
    <t>3</t>
    <phoneticPr fontId="5" type="noConversion"/>
  </si>
  <si>
    <t>6</t>
    <phoneticPr fontId="5" type="noConversion"/>
  </si>
  <si>
    <t>2</t>
    <phoneticPr fontId="5" type="noConversion"/>
  </si>
  <si>
    <t>20:32</t>
  </si>
  <si>
    <t>18:11</t>
  </si>
  <si>
    <t>18:10</t>
  </si>
  <si>
    <t>18:17</t>
  </si>
  <si>
    <t>17:06</t>
  </si>
  <si>
    <t>07:38</t>
  </si>
  <si>
    <t>19:34</t>
  </si>
  <si>
    <t>19:45</t>
  </si>
  <si>
    <t>07:37</t>
  </si>
  <si>
    <t>08:07</t>
  </si>
  <si>
    <t>07:31</t>
  </si>
  <si>
    <t>07:48</t>
  </si>
  <si>
    <t>07:43</t>
  </si>
  <si>
    <t>08:03</t>
  </si>
  <si>
    <t>21:29</t>
  </si>
  <si>
    <t>08:16</t>
  </si>
  <si>
    <t>08:14</t>
  </si>
  <si>
    <t>17:01</t>
  </si>
  <si>
    <t>20:17</t>
  </si>
  <si>
    <t>19:46</t>
  </si>
  <si>
    <t>07:14</t>
  </si>
  <si>
    <t>07:01</t>
  </si>
  <si>
    <t>06:51</t>
  </si>
  <si>
    <t>06:50</t>
  </si>
  <si>
    <t>07:10</t>
  </si>
  <si>
    <t>17:13</t>
  </si>
  <si>
    <t>17:16</t>
  </si>
  <si>
    <t>09:04</t>
  </si>
  <si>
    <t>20:24</t>
  </si>
  <si>
    <t>21:00</t>
  </si>
  <si>
    <t>20:47</t>
  </si>
  <si>
    <t>21:01</t>
  </si>
  <si>
    <t>20:34</t>
  </si>
  <si>
    <t>20:54</t>
  </si>
  <si>
    <t>20:26</t>
  </si>
  <si>
    <t>17:15</t>
  </si>
  <si>
    <t>21:56</t>
  </si>
  <si>
    <t>18:29</t>
  </si>
  <si>
    <t>09:52</t>
  </si>
  <si>
    <t>20:21</t>
  </si>
  <si>
    <t>18:00</t>
  </si>
  <si>
    <t>18:56</t>
  </si>
  <si>
    <t>17:27</t>
  </si>
  <si>
    <t>20:25</t>
  </si>
  <si>
    <t>07:42</t>
  </si>
  <si>
    <t>07:27</t>
  </si>
  <si>
    <t>09:34</t>
  </si>
  <si>
    <t>백승희</t>
    <phoneticPr fontId="16" type="noConversion"/>
  </si>
  <si>
    <t>금</t>
    <phoneticPr fontId="5" type="noConversion"/>
  </si>
  <si>
    <t>토</t>
    <phoneticPr fontId="5" type="noConversion"/>
  </si>
  <si>
    <t>일</t>
    <phoneticPr fontId="5" type="noConversion"/>
  </si>
  <si>
    <t>월</t>
    <phoneticPr fontId="5" type="noConversion"/>
  </si>
  <si>
    <t>예비군</t>
    <phoneticPr fontId="5" type="noConversion"/>
  </si>
  <si>
    <t>필리핀 출장</t>
    <phoneticPr fontId="5" type="noConversion"/>
  </si>
  <si>
    <t>16</t>
    <phoneticPr fontId="5" type="noConversion"/>
  </si>
  <si>
    <t>베트남 
출장</t>
    <phoneticPr fontId="5" type="noConversion"/>
  </si>
  <si>
    <t>10</t>
    <phoneticPr fontId="5" type="noConversion"/>
  </si>
  <si>
    <t>2</t>
    <phoneticPr fontId="5" type="noConversion"/>
  </si>
  <si>
    <t>3</t>
    <phoneticPr fontId="5" type="noConversion"/>
  </si>
  <si>
    <t>1</t>
    <phoneticPr fontId="5" type="noConversion"/>
  </si>
  <si>
    <t>9</t>
    <phoneticPr fontId="5" type="noConversion"/>
  </si>
  <si>
    <t>외근</t>
    <phoneticPr fontId="5" type="noConversion"/>
  </si>
  <si>
    <t>2</t>
    <phoneticPr fontId="5" type="noConversion"/>
  </si>
  <si>
    <t>김정래</t>
    <phoneticPr fontId="16" type="noConversion"/>
  </si>
  <si>
    <t>최승영</t>
    <phoneticPr fontId="16" type="noConversion"/>
  </si>
  <si>
    <t>백승희</t>
    <phoneticPr fontId="5" type="noConversion"/>
  </si>
  <si>
    <t>이영동</t>
    <phoneticPr fontId="16" type="noConversion"/>
  </si>
  <si>
    <t>06:21</t>
  </si>
  <si>
    <t>07:13</t>
  </si>
  <si>
    <t>07:34</t>
  </si>
  <si>
    <t>화</t>
  </si>
  <si>
    <t>수</t>
  </si>
  <si>
    <t>08:11</t>
  </si>
  <si>
    <t>17:26</t>
  </si>
  <si>
    <t>18:12</t>
  </si>
  <si>
    <t>18:21</t>
  </si>
  <si>
    <t>17:22</t>
  </si>
  <si>
    <t>08:13</t>
  </si>
  <si>
    <t>21:04</t>
  </si>
  <si>
    <t>20:58</t>
  </si>
  <si>
    <t>07:58</t>
  </si>
  <si>
    <t>20:16</t>
  </si>
  <si>
    <t>20:57</t>
  </si>
  <si>
    <t>21:05</t>
  </si>
  <si>
    <t>07:33</t>
  </si>
  <si>
    <t>07:28</t>
  </si>
  <si>
    <t>07:49</t>
  </si>
  <si>
    <t>09:10</t>
  </si>
  <si>
    <t>09:58</t>
  </si>
  <si>
    <t>09:14</t>
  </si>
  <si>
    <t>18:28</t>
  </si>
  <si>
    <t>19:44</t>
  </si>
  <si>
    <t>19:35</t>
  </si>
  <si>
    <t>21:16</t>
  </si>
  <si>
    <t>21:02</t>
  </si>
  <si>
    <t>20:39</t>
  </si>
  <si>
    <t>20:13</t>
  </si>
  <si>
    <t>20:22</t>
  </si>
  <si>
    <t>20:15</t>
  </si>
  <si>
    <t>19:56</t>
  </si>
  <si>
    <t>17:46</t>
  </si>
  <si>
    <t>17:24</t>
  </si>
  <si>
    <t>07:40</t>
  </si>
  <si>
    <t>민방위</t>
    <phoneticPr fontId="5" type="noConversion"/>
  </si>
  <si>
    <t>4</t>
    <phoneticPr fontId="5" type="noConversion"/>
  </si>
  <si>
    <t>5</t>
    <phoneticPr fontId="5" type="noConversion"/>
  </si>
  <si>
    <t>14</t>
    <phoneticPr fontId="5" type="noConversion"/>
  </si>
  <si>
    <t>과장</t>
    <phoneticPr fontId="5" type="noConversion"/>
  </si>
  <si>
    <t>최승영</t>
    <phoneticPr fontId="5" type="noConversion"/>
  </si>
  <si>
    <t>이영동</t>
    <phoneticPr fontId="5" type="noConversion"/>
  </si>
  <si>
    <t>07:44</t>
  </si>
  <si>
    <t>09:09</t>
  </si>
  <si>
    <t>15:54</t>
  </si>
  <si>
    <t>18:20</t>
  </si>
  <si>
    <t>수</t>
    <phoneticPr fontId="5" type="noConversion"/>
  </si>
  <si>
    <t>목</t>
    <phoneticPr fontId="5" type="noConversion"/>
  </si>
  <si>
    <t>07:02</t>
  </si>
  <si>
    <t>07:45</t>
  </si>
  <si>
    <t>20:52</t>
  </si>
  <si>
    <t>21:27</t>
  </si>
  <si>
    <t>21:24</t>
  </si>
  <si>
    <t>06:47</t>
  </si>
  <si>
    <t>17:37</t>
  </si>
  <si>
    <t>20:36</t>
  </si>
  <si>
    <t>20:42</t>
  </si>
  <si>
    <t>09:03</t>
  </si>
  <si>
    <t>17:03</t>
  </si>
  <si>
    <t>17:11</t>
  </si>
  <si>
    <t>07:53</t>
  </si>
  <si>
    <t>17:36</t>
  </si>
  <si>
    <t>17:30</t>
  </si>
  <si>
    <t>17:42</t>
  </si>
  <si>
    <t>이태율</t>
    <phoneticPr fontId="16" type="noConversion"/>
  </si>
  <si>
    <t>미팅</t>
    <phoneticPr fontId="5" type="noConversion"/>
  </si>
  <si>
    <t>13</t>
    <phoneticPr fontId="5" type="noConversion"/>
  </si>
  <si>
    <t>2</t>
    <phoneticPr fontId="5" type="noConversion"/>
  </si>
  <si>
    <t>1</t>
    <phoneticPr fontId="5" type="noConversion"/>
  </si>
  <si>
    <t>17</t>
    <phoneticPr fontId="5" type="noConversion"/>
  </si>
  <si>
    <t>3</t>
    <phoneticPr fontId="5" type="noConversion"/>
  </si>
  <si>
    <t>7</t>
    <phoneticPr fontId="5" type="noConversion"/>
  </si>
  <si>
    <t>이태율</t>
    <phoneticPr fontId="5" type="noConversion"/>
  </si>
  <si>
    <t>프로</t>
    <phoneticPr fontId="5" type="noConversion"/>
  </si>
  <si>
    <t>김정래</t>
    <phoneticPr fontId="5" type="noConversion"/>
  </si>
  <si>
    <t>07:36</t>
  </si>
  <si>
    <t>06:55</t>
  </si>
  <si>
    <t>07:17</t>
  </si>
  <si>
    <t>17:49</t>
  </si>
  <si>
    <t>17:41</t>
  </si>
  <si>
    <t>06:37</t>
  </si>
  <si>
    <t>07:30</t>
  </si>
  <si>
    <t>06:59</t>
  </si>
  <si>
    <t>17:23</t>
  </si>
  <si>
    <t>20:53</t>
  </si>
  <si>
    <t>20:28</t>
  </si>
  <si>
    <t>20:41</t>
  </si>
  <si>
    <t>21:10</t>
  </si>
  <si>
    <t>김건</t>
    <phoneticPr fontId="16" type="noConversion"/>
  </si>
  <si>
    <t>17:04</t>
  </si>
  <si>
    <t>김진환</t>
    <phoneticPr fontId="16" type="noConversion"/>
  </si>
  <si>
    <t>김태환</t>
    <phoneticPr fontId="16" type="noConversion"/>
  </si>
  <si>
    <t>여름휴가</t>
    <phoneticPr fontId="5" type="noConversion"/>
  </si>
  <si>
    <t>경조사</t>
    <phoneticPr fontId="5" type="noConversion"/>
  </si>
  <si>
    <t>9</t>
    <phoneticPr fontId="5" type="noConversion"/>
  </si>
  <si>
    <t>1</t>
    <phoneticPr fontId="5" type="noConversion"/>
  </si>
  <si>
    <t>2</t>
    <phoneticPr fontId="5" type="noConversion"/>
  </si>
  <si>
    <t>17</t>
    <phoneticPr fontId="5" type="noConversion"/>
  </si>
  <si>
    <t>2</t>
    <phoneticPr fontId="5" type="noConversion"/>
  </si>
  <si>
    <t>12</t>
    <phoneticPr fontId="5" type="noConversion"/>
  </si>
  <si>
    <t>1</t>
    <phoneticPr fontId="5" type="noConversion"/>
  </si>
  <si>
    <t>대리</t>
    <phoneticPr fontId="5" type="noConversion"/>
  </si>
  <si>
    <t>김진환</t>
    <phoneticPr fontId="5" type="noConversion"/>
  </si>
  <si>
    <t>김태환</t>
    <phoneticPr fontId="5" type="noConversion"/>
  </si>
  <si>
    <t>김건</t>
    <phoneticPr fontId="5" type="noConversion"/>
  </si>
  <si>
    <t>09:06</t>
  </si>
  <si>
    <t>18:01</t>
  </si>
  <si>
    <t>18:27</t>
  </si>
  <si>
    <t>18:15</t>
  </si>
  <si>
    <t>06:40</t>
  </si>
  <si>
    <t>07:11</t>
  </si>
  <si>
    <t>20:43</t>
  </si>
  <si>
    <t>09:35</t>
  </si>
  <si>
    <t>17:00</t>
  </si>
  <si>
    <t>17:56</t>
  </si>
  <si>
    <t>20:37</t>
  </si>
  <si>
    <t>여름
휴가</t>
    <phoneticPr fontId="5" type="noConversion"/>
  </si>
  <si>
    <t>여름 휴가</t>
    <phoneticPr fontId="5" type="noConversion"/>
  </si>
  <si>
    <t>22</t>
    <phoneticPr fontId="5" type="noConversion"/>
  </si>
  <si>
    <t>20:07</t>
  </si>
  <si>
    <t>20:08</t>
  </si>
  <si>
    <t>06:04</t>
  </si>
  <si>
    <t>19:57</t>
  </si>
  <si>
    <t>20:23</t>
  </si>
  <si>
    <t>정의진</t>
    <phoneticPr fontId="16" type="noConversion"/>
  </si>
  <si>
    <t>이예준</t>
    <phoneticPr fontId="16" type="noConversion"/>
  </si>
  <si>
    <t>이예준</t>
    <phoneticPr fontId="5" type="noConversion"/>
  </si>
  <si>
    <t>09:53</t>
  </si>
  <si>
    <t>20:40</t>
  </si>
  <si>
    <t>06:27</t>
  </si>
  <si>
    <t>06:34</t>
  </si>
  <si>
    <t>09:42</t>
  </si>
  <si>
    <t>20:29</t>
  </si>
  <si>
    <t>18:26</t>
  </si>
  <si>
    <t>09:15</t>
  </si>
  <si>
    <t>김한진</t>
    <phoneticPr fontId="16" type="noConversion"/>
  </si>
  <si>
    <t>김윤수</t>
    <phoneticPr fontId="16" type="noConversion"/>
  </si>
  <si>
    <t>19</t>
    <phoneticPr fontId="5" type="noConversion"/>
  </si>
  <si>
    <t>김한진</t>
    <phoneticPr fontId="5" type="noConversion"/>
  </si>
  <si>
    <t>김윤수</t>
    <phoneticPr fontId="5" type="noConversion"/>
  </si>
  <si>
    <t>15:11</t>
  </si>
  <si>
    <t>15:00</t>
  </si>
  <si>
    <t>15:12</t>
  </si>
  <si>
    <t>15:03</t>
  </si>
  <si>
    <t>15:19</t>
  </si>
  <si>
    <t>15:07</t>
  </si>
  <si>
    <t>박람회</t>
    <phoneticPr fontId="5" type="noConversion"/>
  </si>
  <si>
    <t>추석</t>
    <phoneticPr fontId="5" type="noConversion"/>
  </si>
  <si>
    <t>장지웅</t>
    <phoneticPr fontId="16" type="noConversion"/>
  </si>
  <si>
    <t>장지웅</t>
    <phoneticPr fontId="5" type="noConversion"/>
  </si>
  <si>
    <t>9/12 오후 반차 사용 하였는데 하루연차로 결제를 올렸음. 다음 반차 사용시 차감할것(프로그램상)</t>
    <phoneticPr fontId="5" type="noConversion"/>
  </si>
  <si>
    <t>설날</t>
    <phoneticPr fontId="5" type="noConversion"/>
  </si>
  <si>
    <t>공휴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</si>
</sst>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0.0_);[Red]\(0.0\)"/>
    <numFmt numFmtId="177" formatCode="0.0"/>
    <numFmt numFmtId="178" formatCode="_-* #,##0.0_-;\-* #,##0.0_-;_-* &quot;-&quot;_-;_-@_-"/>
    <numFmt numFmtId="179" formatCode="yyyy&quot;년&quot;\ mm&quot;월&quot;"/>
    <numFmt numFmtId="180" formatCode="#,##0.0"/>
    <numFmt numFmtId="181" formatCode="d"/>
    <numFmt numFmtId="182" formatCode="aaa"/>
    <numFmt numFmtId="183" formatCode="[hh]:mm"/>
  </numFmts>
  <fonts count="4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name val="Arial"/>
      <family val="2"/>
    </font>
    <font>
      <b/>
      <sz val="9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1"/>
      <name val="돋움"/>
      <family val="3"/>
      <charset val="129"/>
    </font>
    <font>
      <sz val="9"/>
      <name val="돋움"/>
      <family val="3"/>
      <charset val="129"/>
    </font>
    <font>
      <sz val="1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10"/>
      <color theme="1"/>
      <name val="돋움"/>
      <family val="3"/>
      <charset val="129"/>
    </font>
    <font>
      <b/>
      <sz val="11"/>
      <color rgb="FF0070C0"/>
      <name val="돋움"/>
      <family val="3"/>
      <charset val="129"/>
    </font>
    <font>
      <sz val="9"/>
      <color theme="1"/>
      <name val="돋움"/>
      <family val="3"/>
      <charset val="129"/>
    </font>
    <font>
      <strike/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theme="1"/>
      <name val="맑은 고딕"/>
      <family val="3"/>
      <charset val="129"/>
    </font>
    <font>
      <sz val="8"/>
      <name val="맑은 고딕"/>
      <family val="2"/>
      <charset val="129"/>
    </font>
    <font>
      <strike/>
      <sz val="9"/>
      <color theme="1"/>
      <name val="맑은 고딕"/>
      <family val="3"/>
      <charset val="129"/>
    </font>
    <font>
      <strike/>
      <sz val="9"/>
      <color theme="1"/>
      <name val="돋움"/>
      <family val="3"/>
      <charset val="129"/>
    </font>
    <font>
      <b/>
      <sz val="14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8" tint="-0.249977111117893"/>
      <name val="맑은 고딕"/>
      <family val="3"/>
      <charset val="129"/>
      <scheme val="minor"/>
    </font>
    <font>
      <b/>
      <sz val="11"/>
      <color theme="7" tint="-0.249977111117893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9" tint="-0.249977111117893"/>
      <name val="맑은 고딕"/>
      <family val="3"/>
      <charset val="129"/>
      <scheme val="minor"/>
    </font>
    <font>
      <sz val="11"/>
      <color theme="8" tint="-0.249977111117893"/>
      <name val="맑은 고딕"/>
      <family val="3"/>
      <charset val="129"/>
      <scheme val="minor"/>
    </font>
    <font>
      <sz val="10"/>
      <color theme="7" tint="-0.249977111117893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12"/>
      <color indexed="81"/>
      <name val="돋움"/>
      <family val="3"/>
      <charset val="129"/>
    </font>
    <font>
      <b/>
      <sz val="12"/>
      <color indexed="81"/>
      <name val="Tahoma"/>
      <family val="2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sz val="11"/>
      <color rgb="FF1F11D3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b/>
      <sz val="10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10"/>
      <color indexed="81"/>
      <name val="Tahoma"/>
      <family val="2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b/>
      <sz val="10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1" tint="0.24994659260841701"/>
      </top>
      <bottom/>
      <diagonal/>
    </border>
    <border>
      <left/>
      <right/>
      <top style="thin">
        <color theme="1" tint="0.24994659260841701"/>
      </top>
      <bottom/>
      <diagonal/>
    </border>
    <border>
      <left/>
      <right style="medium">
        <color indexed="64"/>
      </right>
      <top style="thin">
        <color theme="1" tint="0.24994659260841701"/>
      </top>
      <bottom/>
      <diagonal/>
    </border>
    <border>
      <left style="medium">
        <color indexed="64"/>
      </left>
      <right style="thin">
        <color theme="1" tint="0.24994659260841701"/>
      </right>
      <top style="medium">
        <color indexed="64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medium">
        <color indexed="64"/>
      </top>
      <bottom/>
      <diagonal/>
    </border>
    <border>
      <left style="thin">
        <color theme="1" tint="0.24994659260841701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2499465926084170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medium">
        <color indexed="64"/>
      </bottom>
      <diagonal/>
    </border>
    <border>
      <left style="thin">
        <color theme="1" tint="0.24994659260841701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0" tint="-0.3499862666707357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/>
      <bottom style="medium">
        <color indexed="64"/>
      </bottom>
      <diagonal style="thin">
        <color indexed="64"/>
      </diagonal>
    </border>
    <border diagonalDown="1">
      <left/>
      <right/>
      <top/>
      <bottom style="medium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</cellStyleXfs>
  <cellXfs count="278">
    <xf numFmtId="0" fontId="0" fillId="0" borderId="0" xfId="0">
      <alignment vertical="center"/>
    </xf>
    <xf numFmtId="0" fontId="6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77" fontId="11" fillId="3" borderId="1" xfId="0" applyNumberFormat="1" applyFont="1" applyFill="1" applyBorder="1" applyAlignment="1">
      <alignment horizontal="center" vertical="center"/>
    </xf>
    <xf numFmtId="0" fontId="15" fillId="2" borderId="0" xfId="0" applyFont="1" applyFill="1">
      <alignment vertical="center"/>
    </xf>
    <xf numFmtId="14" fontId="8" fillId="2" borderId="1" xfId="2" applyNumberFormat="1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0" fontId="17" fillId="2" borderId="0" xfId="0" applyFont="1" applyFill="1">
      <alignment vertical="center"/>
    </xf>
    <xf numFmtId="0" fontId="18" fillId="2" borderId="0" xfId="0" applyFont="1" applyFill="1">
      <alignment vertical="center"/>
    </xf>
    <xf numFmtId="14" fontId="12" fillId="2" borderId="0" xfId="0" applyNumberFormat="1" applyFont="1" applyFill="1">
      <alignment vertical="center"/>
    </xf>
    <xf numFmtId="0" fontId="12" fillId="2" borderId="0" xfId="0" applyFont="1" applyFill="1" applyAlignment="1">
      <alignment horizontal="center" vertical="center"/>
    </xf>
    <xf numFmtId="178" fontId="12" fillId="2" borderId="0" xfId="1" applyNumberFormat="1" applyFont="1" applyFill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180" fontId="21" fillId="0" borderId="0" xfId="0" applyNumberFormat="1" applyFont="1">
      <alignment vertical="center"/>
    </xf>
    <xf numFmtId="0" fontId="21" fillId="0" borderId="12" xfId="0" applyFont="1" applyBorder="1" applyAlignment="1">
      <alignment horizontal="center" vertical="center"/>
    </xf>
    <xf numFmtId="181" fontId="21" fillId="2" borderId="13" xfId="0" applyNumberFormat="1" applyFont="1" applyFill="1" applyBorder="1" applyAlignment="1">
      <alignment horizontal="center" vertical="center"/>
    </xf>
    <xf numFmtId="181" fontId="21" fillId="0" borderId="13" xfId="0" applyNumberFormat="1" applyFont="1" applyBorder="1" applyAlignment="1">
      <alignment horizontal="center" vertical="center"/>
    </xf>
    <xf numFmtId="181" fontId="22" fillId="0" borderId="13" xfId="0" applyNumberFormat="1" applyFont="1" applyBorder="1" applyAlignment="1">
      <alignment horizontal="center" vertical="center"/>
    </xf>
    <xf numFmtId="181" fontId="21" fillId="5" borderId="13" xfId="0" applyNumberFormat="1" applyFont="1" applyFill="1" applyBorder="1" applyAlignment="1">
      <alignment horizontal="center" vertical="center"/>
    </xf>
    <xf numFmtId="14" fontId="27" fillId="0" borderId="0" xfId="0" applyNumberFormat="1" applyFont="1">
      <alignment vertical="center"/>
    </xf>
    <xf numFmtId="14" fontId="21" fillId="0" borderId="0" xfId="0" applyNumberFormat="1" applyFont="1">
      <alignment vertical="center"/>
    </xf>
    <xf numFmtId="3" fontId="21" fillId="0" borderId="0" xfId="0" applyNumberFormat="1" applyFont="1">
      <alignment vertical="center"/>
    </xf>
    <xf numFmtId="0" fontId="29" fillId="0" borderId="1" xfId="0" applyFont="1" applyBorder="1" applyAlignment="1">
      <alignment horizontal="center" vertical="center"/>
    </xf>
    <xf numFmtId="0" fontId="0" fillId="0" borderId="1" xfId="0" applyBorder="1" applyAlignment="1"/>
    <xf numFmtId="3" fontId="29" fillId="0" borderId="0" xfId="0" applyNumberFormat="1" applyFont="1" applyAlignment="1">
      <alignment horizontal="center" vertical="center"/>
    </xf>
    <xf numFmtId="183" fontId="29" fillId="0" borderId="0" xfId="0" applyNumberFormat="1" applyFont="1" applyAlignment="1">
      <alignment horizontal="center" vertical="center"/>
    </xf>
    <xf numFmtId="0" fontId="2" fillId="0" borderId="1" xfId="0" applyFont="1" applyBorder="1" applyAlignment="1"/>
    <xf numFmtId="3" fontId="29" fillId="0" borderId="29" xfId="0" applyNumberFormat="1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0" fillId="0" borderId="16" xfId="0" applyBorder="1" applyAlignment="1"/>
    <xf numFmtId="0" fontId="29" fillId="0" borderId="2" xfId="0" applyFont="1" applyBorder="1" applyAlignment="1">
      <alignment horizontal="center" vertical="center"/>
    </xf>
    <xf numFmtId="0" fontId="0" fillId="0" borderId="2" xfId="0" applyBorder="1" applyAlignment="1"/>
    <xf numFmtId="0" fontId="29" fillId="0" borderId="0" xfId="0" applyFont="1" applyAlignment="1">
      <alignment horizontal="center" vertical="center"/>
    </xf>
    <xf numFmtId="180" fontId="29" fillId="0" borderId="0" xfId="0" applyNumberFormat="1" applyFont="1" applyAlignment="1">
      <alignment horizontal="center" vertical="center"/>
    </xf>
    <xf numFmtId="177" fontId="12" fillId="2" borderId="0" xfId="0" applyNumberFormat="1" applyFont="1" applyFill="1">
      <alignment vertical="center"/>
    </xf>
    <xf numFmtId="0" fontId="21" fillId="0" borderId="39" xfId="0" applyFont="1" applyBorder="1" applyAlignment="1">
      <alignment horizontal="center" vertical="center"/>
    </xf>
    <xf numFmtId="182" fontId="21" fillId="2" borderId="16" xfId="0" applyNumberFormat="1" applyFont="1" applyFill="1" applyBorder="1" applyAlignment="1">
      <alignment horizontal="center" vertical="center"/>
    </xf>
    <xf numFmtId="182" fontId="21" fillId="0" borderId="16" xfId="0" applyNumberFormat="1" applyFont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41" fontId="12" fillId="2" borderId="0" xfId="1" applyFont="1" applyFill="1">
      <alignment vertical="center"/>
    </xf>
    <xf numFmtId="0" fontId="0" fillId="5" borderId="2" xfId="0" applyFill="1" applyBorder="1" applyAlignment="1"/>
    <xf numFmtId="0" fontId="0" fillId="5" borderId="1" xfId="0" applyFill="1" applyBorder="1" applyAlignment="1"/>
    <xf numFmtId="0" fontId="0" fillId="5" borderId="16" xfId="0" applyFill="1" applyBorder="1" applyAlignment="1"/>
    <xf numFmtId="0" fontId="28" fillId="0" borderId="1" xfId="0" applyFont="1" applyBorder="1" applyAlignment="1"/>
    <xf numFmtId="0" fontId="4" fillId="2" borderId="1" xfId="2" applyFont="1" applyFill="1" applyBorder="1" applyAlignment="1">
      <alignment horizontal="center" vertical="center"/>
    </xf>
    <xf numFmtId="14" fontId="4" fillId="2" borderId="1" xfId="2" applyNumberFormat="1" applyFont="1" applyFill="1" applyBorder="1" applyAlignment="1">
      <alignment horizontal="center" vertical="center"/>
    </xf>
    <xf numFmtId="14" fontId="4" fillId="2" borderId="1" xfId="2" applyNumberFormat="1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/>
    </xf>
    <xf numFmtId="14" fontId="7" fillId="2" borderId="1" xfId="2" applyNumberFormat="1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center" vertical="center"/>
    </xf>
    <xf numFmtId="176" fontId="8" fillId="2" borderId="1" xfId="2" applyNumberFormat="1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  <xf numFmtId="177" fontId="9" fillId="2" borderId="1" xfId="0" applyNumberFormat="1" applyFont="1" applyFill="1" applyBorder="1" applyAlignment="1">
      <alignment horizontal="center" vertical="center"/>
    </xf>
    <xf numFmtId="0" fontId="14" fillId="2" borderId="1" xfId="2" applyFont="1" applyFill="1" applyBorder="1" applyAlignment="1">
      <alignment horizontal="center" vertical="center"/>
    </xf>
    <xf numFmtId="41" fontId="8" fillId="2" borderId="1" xfId="1" applyFont="1" applyFill="1" applyBorder="1" applyAlignment="1">
      <alignment horizontal="center" vertical="center"/>
    </xf>
    <xf numFmtId="0" fontId="0" fillId="0" borderId="0" xfId="0" applyAlignment="1"/>
    <xf numFmtId="14" fontId="12" fillId="2" borderId="0" xfId="0" applyNumberFormat="1" applyFont="1" applyFill="1" applyAlignment="1">
      <alignment horizontal="center" vertical="center"/>
    </xf>
    <xf numFmtId="178" fontId="12" fillId="2" borderId="0" xfId="1" applyNumberFormat="1" applyFont="1" applyFill="1" applyAlignment="1">
      <alignment horizontal="center" vertical="center"/>
    </xf>
    <xf numFmtId="0" fontId="0" fillId="6" borderId="16" xfId="0" applyFill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181" fontId="21" fillId="8" borderId="13" xfId="0" applyNumberFormat="1" applyFont="1" applyFill="1" applyBorder="1" applyAlignment="1">
      <alignment horizontal="center" vertical="center"/>
    </xf>
    <xf numFmtId="0" fontId="0" fillId="8" borderId="2" xfId="0" applyFill="1" applyBorder="1" applyAlignment="1"/>
    <xf numFmtId="0" fontId="0" fillId="8" borderId="1" xfId="0" applyFill="1" applyBorder="1" applyAlignment="1"/>
    <xf numFmtId="0" fontId="0" fillId="8" borderId="16" xfId="0" applyFill="1" applyBorder="1" applyAlignment="1"/>
    <xf numFmtId="20" fontId="0" fillId="0" borderId="16" xfId="0" applyNumberFormat="1" applyBorder="1" applyAlignment="1"/>
    <xf numFmtId="0" fontId="0" fillId="9" borderId="1" xfId="0" applyFill="1" applyBorder="1" applyAlignment="1">
      <alignment horizontal="center"/>
    </xf>
    <xf numFmtId="182" fontId="40" fillId="8" borderId="16" xfId="0" applyNumberFormat="1" applyFont="1" applyFill="1" applyBorder="1" applyAlignment="1">
      <alignment horizontal="center" vertical="center"/>
    </xf>
    <xf numFmtId="182" fontId="28" fillId="8" borderId="16" xfId="0" applyNumberFormat="1" applyFont="1" applyFill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182" fontId="28" fillId="2" borderId="16" xfId="0" applyNumberFormat="1" applyFont="1" applyFill="1" applyBorder="1" applyAlignment="1">
      <alignment horizontal="center" vertical="center"/>
    </xf>
    <xf numFmtId="182" fontId="28" fillId="0" borderId="16" xfId="0" applyNumberFormat="1" applyFont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20" fontId="0" fillId="0" borderId="1" xfId="0" applyNumberFormat="1" applyBorder="1" applyAlignment="1"/>
    <xf numFmtId="0" fontId="7" fillId="2" borderId="3" xfId="2" applyFont="1" applyFill="1" applyBorder="1" applyAlignment="1">
      <alignment vertical="center" wrapText="1"/>
    </xf>
    <xf numFmtId="0" fontId="7" fillId="2" borderId="2" xfId="2" applyFont="1" applyFill="1" applyBorder="1" applyAlignment="1">
      <alignment vertical="center" wrapText="1"/>
    </xf>
    <xf numFmtId="0" fontId="48" fillId="2" borderId="1" xfId="2" applyFont="1" applyFill="1" applyBorder="1" applyAlignment="1">
      <alignment horizontal="center" vertical="center"/>
    </xf>
    <xf numFmtId="177" fontId="11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/>
    <xf numFmtId="0" fontId="7" fillId="2" borderId="1" xfId="2" applyFont="1" applyFill="1" applyBorder="1" applyAlignment="1">
      <alignment vertical="center" wrapText="1"/>
    </xf>
    <xf numFmtId="0" fontId="21" fillId="2" borderId="0" xfId="0" applyFont="1" applyFill="1" applyAlignment="1">
      <alignment horizontal="center" vertical="center"/>
    </xf>
    <xf numFmtId="3" fontId="29" fillId="2" borderId="0" xfId="0" applyNumberFormat="1" applyFont="1" applyFill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0" fillId="0" borderId="13" xfId="0" applyBorder="1" applyAlignment="1"/>
    <xf numFmtId="0" fontId="0" fillId="6" borderId="4" xfId="0" applyFill="1" applyBorder="1" applyAlignment="1">
      <alignment horizontal="center"/>
    </xf>
    <xf numFmtId="0" fontId="0" fillId="0" borderId="4" xfId="0" applyBorder="1" applyAlignment="1"/>
    <xf numFmtId="0" fontId="0" fillId="6" borderId="2" xfId="0" applyFill="1" applyBorder="1" applyAlignment="1">
      <alignment horizontal="center"/>
    </xf>
    <xf numFmtId="177" fontId="11" fillId="7" borderId="1" xfId="0" applyNumberFormat="1" applyFont="1" applyFill="1" applyBorder="1" applyAlignment="1">
      <alignment horizontal="center" vertical="center"/>
    </xf>
    <xf numFmtId="0" fontId="12" fillId="9" borderId="0" xfId="0" applyFont="1" applyFill="1">
      <alignment vertical="center"/>
    </xf>
    <xf numFmtId="182" fontId="21" fillId="0" borderId="4" xfId="0" applyNumberFormat="1" applyFont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horizontal="center" vertical="center" wrapText="1"/>
    </xf>
    <xf numFmtId="180" fontId="33" fillId="0" borderId="4" xfId="1" applyNumberFormat="1" applyFont="1" applyBorder="1" applyAlignment="1">
      <alignment horizontal="center" vertical="center"/>
    </xf>
    <xf numFmtId="180" fontId="33" fillId="0" borderId="2" xfId="1" applyNumberFormat="1" applyFont="1" applyBorder="1" applyAlignment="1">
      <alignment horizontal="center" vertical="center"/>
    </xf>
    <xf numFmtId="183" fontId="29" fillId="0" borderId="21" xfId="0" applyNumberFormat="1" applyFont="1" applyBorder="1" applyAlignment="1">
      <alignment horizontal="center" vertical="center"/>
    </xf>
    <xf numFmtId="183" fontId="29" fillId="0" borderId="24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32" fillId="0" borderId="4" xfId="0" applyNumberFormat="1" applyFont="1" applyBorder="1" applyAlignment="1">
      <alignment horizontal="center" vertical="center"/>
    </xf>
    <xf numFmtId="49" fontId="32" fillId="0" borderId="2" xfId="0" applyNumberFormat="1" applyFont="1" applyBorder="1" applyAlignment="1">
      <alignment horizontal="center" vertical="center"/>
    </xf>
    <xf numFmtId="180" fontId="33" fillId="0" borderId="3" xfId="0" applyNumberFormat="1" applyFont="1" applyBorder="1" applyAlignment="1">
      <alignment horizontal="center" vertical="center"/>
    </xf>
    <xf numFmtId="180" fontId="33" fillId="0" borderId="2" xfId="0" applyNumberFormat="1" applyFont="1" applyBorder="1" applyAlignment="1">
      <alignment horizontal="center" vertical="center"/>
    </xf>
    <xf numFmtId="183" fontId="29" fillId="0" borderId="1" xfId="0" applyNumberFormat="1" applyFont="1" applyBorder="1" applyAlignment="1">
      <alignment horizontal="center" vertical="center"/>
    </xf>
    <xf numFmtId="183" fontId="31" fillId="0" borderId="1" xfId="0" applyNumberFormat="1" applyFont="1" applyBorder="1" applyAlignment="1">
      <alignment horizontal="center" vertical="center"/>
    </xf>
    <xf numFmtId="183" fontId="29" fillId="0" borderId="25" xfId="0" applyNumberFormat="1" applyFont="1" applyBorder="1" applyAlignment="1">
      <alignment horizontal="center" vertical="center"/>
    </xf>
    <xf numFmtId="183" fontId="29" fillId="0" borderId="23" xfId="0" applyNumberFormat="1" applyFont="1" applyBorder="1" applyAlignment="1">
      <alignment horizontal="center" vertical="center"/>
    </xf>
    <xf numFmtId="3" fontId="29" fillId="0" borderId="32" xfId="0" applyNumberFormat="1" applyFont="1" applyBorder="1" applyAlignment="1">
      <alignment horizontal="center" vertical="center"/>
    </xf>
    <xf numFmtId="3" fontId="29" fillId="0" borderId="33" xfId="0" applyNumberFormat="1" applyFont="1" applyBorder="1" applyAlignment="1">
      <alignment horizontal="center" vertical="center"/>
    </xf>
    <xf numFmtId="3" fontId="29" fillId="0" borderId="34" xfId="0" applyNumberFormat="1" applyFont="1" applyBorder="1" applyAlignment="1">
      <alignment horizontal="center" vertical="center"/>
    </xf>
    <xf numFmtId="3" fontId="29" fillId="0" borderId="1" xfId="0" applyNumberFormat="1" applyFont="1" applyBorder="1" applyAlignment="1">
      <alignment horizontal="center" vertical="center"/>
    </xf>
    <xf numFmtId="3" fontId="29" fillId="0" borderId="16" xfId="0" applyNumberFormat="1" applyFont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0" fillId="2" borderId="16" xfId="0" applyFont="1" applyFill="1" applyBorder="1" applyAlignment="1">
      <alignment horizontal="center" vertical="center"/>
    </xf>
    <xf numFmtId="183" fontId="31" fillId="0" borderId="16" xfId="0" applyNumberFormat="1" applyFont="1" applyBorder="1" applyAlignment="1">
      <alignment horizontal="center" vertical="center"/>
    </xf>
    <xf numFmtId="3" fontId="29" fillId="0" borderId="35" xfId="0" applyNumberFormat="1" applyFont="1" applyBorder="1" applyAlignment="1">
      <alignment horizontal="center" vertical="center"/>
    </xf>
    <xf numFmtId="3" fontId="29" fillId="0" borderId="29" xfId="0" applyNumberFormat="1" applyFont="1" applyBorder="1" applyAlignment="1">
      <alignment horizontal="center" vertical="center"/>
    </xf>
    <xf numFmtId="3" fontId="29" fillId="0" borderId="36" xfId="0" applyNumberFormat="1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34" fillId="0" borderId="1" xfId="0" applyNumberFormat="1" applyFont="1" applyBorder="1" applyAlignment="1">
      <alignment horizontal="center" vertical="center"/>
    </xf>
    <xf numFmtId="183" fontId="29" fillId="0" borderId="27" xfId="0" applyNumberFormat="1" applyFont="1" applyBorder="1" applyAlignment="1">
      <alignment horizontal="center" vertical="center"/>
    </xf>
    <xf numFmtId="183" fontId="29" fillId="0" borderId="31" xfId="0" applyNumberFormat="1" applyFont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179" fontId="20" fillId="4" borderId="6" xfId="0" applyNumberFormat="1" applyFont="1" applyFill="1" applyBorder="1" applyAlignment="1">
      <alignment horizontal="center" vertical="center"/>
    </xf>
    <xf numFmtId="179" fontId="20" fillId="4" borderId="7" xfId="0" applyNumberFormat="1" applyFont="1" applyFill="1" applyBorder="1" applyAlignment="1">
      <alignment horizontal="center" vertical="center"/>
    </xf>
    <xf numFmtId="179" fontId="20" fillId="4" borderId="8" xfId="0" applyNumberFormat="1" applyFont="1" applyFill="1" applyBorder="1" applyAlignment="1">
      <alignment horizontal="center" vertical="center"/>
    </xf>
    <xf numFmtId="14" fontId="21" fillId="0" borderId="9" xfId="0" applyNumberFormat="1" applyFont="1" applyBorder="1" applyAlignment="1">
      <alignment horizontal="center" vertical="center"/>
    </xf>
    <xf numFmtId="14" fontId="21" fillId="0" borderId="15" xfId="0" applyNumberFormat="1" applyFont="1" applyBorder="1" applyAlignment="1">
      <alignment horizontal="center" vertical="center"/>
    </xf>
    <xf numFmtId="14" fontId="21" fillId="0" borderId="10" xfId="0" applyNumberFormat="1" applyFont="1" applyBorder="1" applyAlignment="1">
      <alignment horizontal="center" vertical="center"/>
    </xf>
    <xf numFmtId="14" fontId="21" fillId="0" borderId="37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 wrapText="1"/>
    </xf>
    <xf numFmtId="14" fontId="23" fillId="0" borderId="16" xfId="0" applyNumberFormat="1" applyFont="1" applyBorder="1" applyAlignment="1">
      <alignment horizontal="center" vertical="center"/>
    </xf>
    <xf numFmtId="3" fontId="29" fillId="0" borderId="2" xfId="0" applyNumberFormat="1" applyFont="1" applyBorder="1" applyAlignment="1">
      <alignment horizontal="center" vertical="center"/>
    </xf>
    <xf numFmtId="49" fontId="32" fillId="0" borderId="30" xfId="0" applyNumberFormat="1" applyFont="1" applyBorder="1" applyAlignment="1">
      <alignment horizontal="center" vertical="center"/>
    </xf>
    <xf numFmtId="14" fontId="24" fillId="0" borderId="13" xfId="0" applyNumberFormat="1" applyFont="1" applyBorder="1" applyAlignment="1">
      <alignment horizontal="center" vertical="center" wrapText="1"/>
    </xf>
    <xf numFmtId="14" fontId="24" fillId="0" borderId="16" xfId="0" applyNumberFormat="1" applyFont="1" applyBorder="1" applyAlignment="1">
      <alignment horizontal="center" vertical="center"/>
    </xf>
    <xf numFmtId="14" fontId="25" fillId="0" borderId="13" xfId="0" applyNumberFormat="1" applyFont="1" applyBorder="1" applyAlignment="1">
      <alignment horizontal="center" vertical="center" wrapText="1"/>
    </xf>
    <xf numFmtId="14" fontId="25" fillId="0" borderId="16" xfId="0" applyNumberFormat="1" applyFont="1" applyBorder="1" applyAlignment="1">
      <alignment horizontal="center" vertical="center"/>
    </xf>
    <xf numFmtId="180" fontId="26" fillId="0" borderId="13" xfId="0" applyNumberFormat="1" applyFont="1" applyBorder="1" applyAlignment="1">
      <alignment horizontal="center" vertical="center"/>
    </xf>
    <xf numFmtId="180" fontId="26" fillId="0" borderId="16" xfId="0" applyNumberFormat="1" applyFont="1" applyBorder="1" applyAlignment="1">
      <alignment horizontal="center" vertical="center"/>
    </xf>
    <xf numFmtId="14" fontId="27" fillId="0" borderId="13" xfId="0" applyNumberFormat="1" applyFont="1" applyBorder="1" applyAlignment="1">
      <alignment horizontal="center" vertical="center" wrapText="1"/>
    </xf>
    <xf numFmtId="14" fontId="27" fillId="0" borderId="16" xfId="0" applyNumberFormat="1" applyFont="1" applyBorder="1" applyAlignment="1">
      <alignment horizontal="center" vertical="center"/>
    </xf>
    <xf numFmtId="14" fontId="27" fillId="0" borderId="14" xfId="0" applyNumberFormat="1" applyFont="1" applyBorder="1" applyAlignment="1">
      <alignment horizontal="center" vertical="center" wrapText="1"/>
    </xf>
    <xf numFmtId="14" fontId="27" fillId="0" borderId="17" xfId="0" applyNumberFormat="1" applyFont="1" applyBorder="1" applyAlignment="1">
      <alignment horizontal="center" vertical="center"/>
    </xf>
    <xf numFmtId="3" fontId="29" fillId="0" borderId="18" xfId="0" applyNumberFormat="1" applyFont="1" applyBorder="1" applyAlignment="1">
      <alignment horizontal="center" vertical="center"/>
    </xf>
    <xf numFmtId="3" fontId="29" fillId="0" borderId="22" xfId="0" applyNumberFormat="1" applyFont="1" applyBorder="1" applyAlignment="1">
      <alignment horizontal="center" vertical="center"/>
    </xf>
    <xf numFmtId="3" fontId="29" fillId="0" borderId="26" xfId="0" applyNumberFormat="1" applyFont="1" applyBorder="1" applyAlignment="1">
      <alignment horizontal="center" vertical="center"/>
    </xf>
    <xf numFmtId="3" fontId="29" fillId="0" borderId="28" xfId="0" applyNumberFormat="1" applyFont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49" fontId="34" fillId="0" borderId="2" xfId="0" applyNumberFormat="1" applyFont="1" applyBorder="1" applyAlignment="1">
      <alignment horizontal="center" vertical="center"/>
    </xf>
    <xf numFmtId="49" fontId="28" fillId="0" borderId="2" xfId="1" applyNumberFormat="1" applyFont="1" applyBorder="1" applyAlignment="1">
      <alignment horizontal="center" vertical="center"/>
    </xf>
    <xf numFmtId="49" fontId="28" fillId="0" borderId="1" xfId="1" applyNumberFormat="1" applyFont="1" applyBorder="1" applyAlignment="1">
      <alignment horizontal="center" vertical="center"/>
    </xf>
    <xf numFmtId="49" fontId="32" fillId="0" borderId="3" xfId="0" applyNumberFormat="1" applyFont="1" applyBorder="1" applyAlignment="1">
      <alignment horizontal="center" vertical="center"/>
    </xf>
    <xf numFmtId="180" fontId="33" fillId="0" borderId="19" xfId="0" applyNumberFormat="1" applyFont="1" applyBorder="1" applyAlignment="1">
      <alignment horizontal="center" vertical="center"/>
    </xf>
    <xf numFmtId="183" fontId="29" fillId="0" borderId="20" xfId="0" applyNumberFormat="1" applyFont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16" xfId="0" applyNumberFormat="1" applyFont="1" applyBorder="1" applyAlignment="1">
      <alignment horizontal="center" vertical="center"/>
    </xf>
    <xf numFmtId="180" fontId="33" fillId="0" borderId="30" xfId="1" applyNumberFormat="1" applyFont="1" applyBorder="1" applyAlignment="1">
      <alignment horizontal="center" vertical="center"/>
    </xf>
    <xf numFmtId="49" fontId="28" fillId="0" borderId="4" xfId="0" applyNumberFormat="1" applyFont="1" applyBorder="1" applyAlignment="1">
      <alignment horizontal="center" vertical="center"/>
    </xf>
    <xf numFmtId="183" fontId="29" fillId="0" borderId="4" xfId="0" applyNumberFormat="1" applyFont="1" applyBorder="1" applyAlignment="1">
      <alignment horizontal="center" vertical="center"/>
    </xf>
    <xf numFmtId="183" fontId="29" fillId="0" borderId="30" xfId="0" applyNumberFormat="1" applyFont="1" applyBorder="1" applyAlignment="1">
      <alignment horizontal="center" vertical="center"/>
    </xf>
    <xf numFmtId="180" fontId="33" fillId="0" borderId="4" xfId="0" applyNumberFormat="1" applyFont="1" applyBorder="1" applyAlignment="1">
      <alignment horizontal="center" vertical="center"/>
    </xf>
    <xf numFmtId="180" fontId="33" fillId="0" borderId="30" xfId="0" applyNumberFormat="1" applyFont="1" applyBorder="1" applyAlignment="1">
      <alignment horizontal="center" vertical="center"/>
    </xf>
    <xf numFmtId="183" fontId="29" fillId="0" borderId="3" xfId="0" applyNumberFormat="1" applyFont="1" applyBorder="1" applyAlignment="1">
      <alignment horizontal="center" vertical="center"/>
    </xf>
    <xf numFmtId="0" fontId="0" fillId="5" borderId="47" xfId="0" applyFill="1" applyBorder="1" applyAlignment="1">
      <alignment horizontal="center" vertical="center" wrapText="1"/>
    </xf>
    <xf numFmtId="0" fontId="0" fillId="5" borderId="48" xfId="0" applyFill="1" applyBorder="1" applyAlignment="1">
      <alignment horizontal="center" vertical="center"/>
    </xf>
    <xf numFmtId="0" fontId="0" fillId="5" borderId="49" xfId="0" applyFill="1" applyBorder="1" applyAlignment="1">
      <alignment horizontal="center" vertical="center"/>
    </xf>
    <xf numFmtId="0" fontId="0" fillId="5" borderId="50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183" fontId="29" fillId="0" borderId="54" xfId="0" applyNumberFormat="1" applyFont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183" fontId="29" fillId="0" borderId="2" xfId="0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3" fontId="29" fillId="0" borderId="53" xfId="0" applyNumberFormat="1" applyFont="1" applyBorder="1" applyAlignment="1">
      <alignment horizontal="center" vertical="center"/>
    </xf>
    <xf numFmtId="3" fontId="29" fillId="0" borderId="55" xfId="0" applyNumberFormat="1" applyFont="1" applyBorder="1" applyAlignment="1">
      <alignment horizontal="center" vertical="center"/>
    </xf>
    <xf numFmtId="183" fontId="29" fillId="0" borderId="16" xfId="0" applyNumberFormat="1" applyFont="1" applyBorder="1" applyAlignment="1">
      <alignment horizontal="center" vertical="center"/>
    </xf>
    <xf numFmtId="183" fontId="29" fillId="0" borderId="17" xfId="0" applyNumberFormat="1" applyFont="1" applyBorder="1" applyAlignment="1">
      <alignment horizontal="center" vertical="center"/>
    </xf>
    <xf numFmtId="3" fontId="29" fillId="0" borderId="52" xfId="0" applyNumberFormat="1" applyFont="1" applyBorder="1" applyAlignment="1">
      <alignment horizontal="center" vertical="center"/>
    </xf>
    <xf numFmtId="0" fontId="0" fillId="8" borderId="44" xfId="0" applyFill="1" applyBorder="1" applyAlignment="1">
      <alignment horizontal="center"/>
    </xf>
    <xf numFmtId="14" fontId="21" fillId="0" borderId="35" xfId="0" applyNumberFormat="1" applyFont="1" applyBorder="1" applyAlignment="1">
      <alignment horizontal="center" vertical="center"/>
    </xf>
    <xf numFmtId="14" fontId="21" fillId="0" borderId="36" xfId="0" applyNumberFormat="1" applyFont="1" applyBorder="1" applyAlignment="1">
      <alignment horizontal="center" vertical="center"/>
    </xf>
    <xf numFmtId="49" fontId="32" fillId="0" borderId="1" xfId="0" applyNumberFormat="1" applyFont="1" applyBorder="1" applyAlignment="1">
      <alignment horizontal="center" vertical="center"/>
    </xf>
    <xf numFmtId="180" fontId="33" fillId="0" borderId="1" xfId="0" applyNumberFormat="1" applyFont="1" applyBorder="1" applyAlignment="1">
      <alignment horizontal="center" vertical="center"/>
    </xf>
    <xf numFmtId="49" fontId="32" fillId="0" borderId="16" xfId="0" applyNumberFormat="1" applyFont="1" applyBorder="1" applyAlignment="1">
      <alignment horizontal="center" vertical="center"/>
    </xf>
    <xf numFmtId="180" fontId="33" fillId="0" borderId="16" xfId="0" applyNumberFormat="1" applyFont="1" applyBorder="1" applyAlignment="1">
      <alignment horizontal="center" vertical="center"/>
    </xf>
    <xf numFmtId="0" fontId="0" fillId="8" borderId="57" xfId="0" applyFill="1" applyBorder="1" applyAlignment="1">
      <alignment horizontal="center"/>
    </xf>
    <xf numFmtId="0" fontId="0" fillId="8" borderId="56" xfId="0" applyFill="1" applyBorder="1" applyAlignment="1">
      <alignment horizontal="center"/>
    </xf>
    <xf numFmtId="180" fontId="33" fillId="0" borderId="1" xfId="1" applyNumberFormat="1" applyFont="1" applyBorder="1" applyAlignment="1">
      <alignment horizontal="center" vertical="center"/>
    </xf>
    <xf numFmtId="180" fontId="33" fillId="0" borderId="16" xfId="1" applyNumberFormat="1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83" fontId="29" fillId="0" borderId="14" xfId="0" applyNumberFormat="1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/>
    </xf>
    <xf numFmtId="0" fontId="0" fillId="5" borderId="58" xfId="0" applyFill="1" applyBorder="1" applyAlignment="1">
      <alignment horizontal="center"/>
    </xf>
    <xf numFmtId="0" fontId="0" fillId="5" borderId="59" xfId="0" applyFill="1" applyBorder="1" applyAlignment="1">
      <alignment horizontal="center"/>
    </xf>
    <xf numFmtId="0" fontId="0" fillId="5" borderId="60" xfId="0" applyFill="1" applyBorder="1" applyAlignment="1">
      <alignment horizontal="center"/>
    </xf>
    <xf numFmtId="0" fontId="0" fillId="5" borderId="61" xfId="0" applyFill="1" applyBorder="1" applyAlignment="1">
      <alignment horizontal="center"/>
    </xf>
    <xf numFmtId="0" fontId="0" fillId="5" borderId="62" xfId="0" applyFill="1" applyBorder="1" applyAlignment="1">
      <alignment horizontal="center"/>
    </xf>
    <xf numFmtId="0" fontId="0" fillId="5" borderId="63" xfId="0" applyFill="1" applyBorder="1" applyAlignment="1">
      <alignment horizontal="center"/>
    </xf>
    <xf numFmtId="0" fontId="0" fillId="5" borderId="64" xfId="0" applyFill="1" applyBorder="1" applyAlignment="1">
      <alignment horizontal="center"/>
    </xf>
    <xf numFmtId="0" fontId="0" fillId="5" borderId="65" xfId="0" applyFill="1" applyBorder="1" applyAlignment="1">
      <alignment horizontal="center"/>
    </xf>
    <xf numFmtId="0" fontId="0" fillId="5" borderId="66" xfId="0" applyFill="1" applyBorder="1" applyAlignment="1">
      <alignment horizontal="center"/>
    </xf>
    <xf numFmtId="49" fontId="34" fillId="0" borderId="16" xfId="0" applyNumberFormat="1" applyFont="1" applyBorder="1" applyAlignment="1">
      <alignment horizontal="center" vertical="center"/>
    </xf>
    <xf numFmtId="3" fontId="29" fillId="0" borderId="67" xfId="0" applyNumberFormat="1" applyFont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49" fontId="34" fillId="0" borderId="4" xfId="0" applyNumberFormat="1" applyFont="1" applyBorder="1" applyAlignment="1">
      <alignment horizontal="center" vertical="center"/>
    </xf>
    <xf numFmtId="0" fontId="0" fillId="8" borderId="58" xfId="0" applyFill="1" applyBorder="1" applyAlignment="1">
      <alignment horizontal="center"/>
    </xf>
    <xf numFmtId="0" fontId="0" fillId="8" borderId="59" xfId="0" applyFill="1" applyBorder="1" applyAlignment="1">
      <alignment horizontal="center"/>
    </xf>
    <xf numFmtId="0" fontId="0" fillId="8" borderId="60" xfId="0" applyFill="1" applyBorder="1" applyAlignment="1">
      <alignment horizontal="center"/>
    </xf>
    <xf numFmtId="0" fontId="0" fillId="8" borderId="61" xfId="0" applyFill="1" applyBorder="1" applyAlignment="1">
      <alignment horizontal="center"/>
    </xf>
    <xf numFmtId="0" fontId="0" fillId="8" borderId="62" xfId="0" applyFill="1" applyBorder="1" applyAlignment="1">
      <alignment horizontal="center"/>
    </xf>
    <xf numFmtId="0" fontId="0" fillId="8" borderId="63" xfId="0" applyFill="1" applyBorder="1" applyAlignment="1">
      <alignment horizontal="center"/>
    </xf>
    <xf numFmtId="0" fontId="0" fillId="6" borderId="47" xfId="0" applyFill="1" applyBorder="1" applyAlignment="1">
      <alignment horizontal="center" vertical="center"/>
    </xf>
    <xf numFmtId="0" fontId="0" fillId="6" borderId="48" xfId="0" applyFill="1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6" borderId="50" xfId="0" applyFill="1" applyBorder="1" applyAlignment="1">
      <alignment horizontal="center" vertical="center"/>
    </xf>
    <xf numFmtId="0" fontId="0" fillId="6" borderId="51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47" xfId="0" applyFill="1" applyBorder="1" applyAlignment="1">
      <alignment horizontal="center" vertical="center" wrapText="1"/>
    </xf>
    <xf numFmtId="0" fontId="0" fillId="6" borderId="49" xfId="0" applyFill="1" applyBorder="1" applyAlignment="1">
      <alignment horizontal="center" vertical="center" wrapText="1"/>
    </xf>
    <xf numFmtId="0" fontId="0" fillId="6" borderId="41" xfId="0" applyFill="1" applyBorder="1" applyAlignment="1">
      <alignment horizontal="center" vertical="center" wrapText="1"/>
    </xf>
    <xf numFmtId="0" fontId="0" fillId="6" borderId="4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47" xfId="0" applyFill="1" applyBorder="1" applyAlignment="1">
      <alignment horizontal="center"/>
    </xf>
    <xf numFmtId="0" fontId="0" fillId="10" borderId="48" xfId="0" applyFill="1" applyBorder="1" applyAlignment="1">
      <alignment horizontal="center"/>
    </xf>
    <xf numFmtId="0" fontId="0" fillId="10" borderId="49" xfId="0" applyFill="1" applyBorder="1" applyAlignment="1">
      <alignment horizontal="center"/>
    </xf>
    <xf numFmtId="0" fontId="0" fillId="10" borderId="50" xfId="0" applyFill="1" applyBorder="1" applyAlignment="1">
      <alignment horizontal="center"/>
    </xf>
    <xf numFmtId="0" fontId="0" fillId="10" borderId="51" xfId="0" applyFill="1" applyBorder="1" applyAlignment="1">
      <alignment horizontal="center"/>
    </xf>
    <xf numFmtId="0" fontId="0" fillId="10" borderId="2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43" xfId="0" applyFill="1" applyBorder="1" applyAlignment="1">
      <alignment horizontal="center"/>
    </xf>
    <xf numFmtId="0" fontId="0" fillId="6" borderId="42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8" borderId="64" xfId="0" applyFill="1" applyBorder="1" applyAlignment="1">
      <alignment horizontal="center"/>
    </xf>
    <xf numFmtId="0" fontId="0" fillId="8" borderId="65" xfId="0" applyFill="1" applyBorder="1" applyAlignment="1">
      <alignment horizontal="center"/>
    </xf>
    <xf numFmtId="0" fontId="0" fillId="8" borderId="66" xfId="0" applyFill="1" applyBorder="1" applyAlignment="1">
      <alignment horizontal="center"/>
    </xf>
    <xf numFmtId="0" fontId="0" fillId="6" borderId="13" xfId="0" applyFill="1" applyBorder="1" applyAlignment="1">
      <alignment horizontal="center" vertical="center"/>
    </xf>
    <xf numFmtId="183" fontId="29" fillId="0" borderId="13" xfId="0" applyNumberFormat="1" applyFont="1" applyBorder="1" applyAlignment="1">
      <alignment horizontal="center" vertical="center"/>
    </xf>
    <xf numFmtId="49" fontId="32" fillId="0" borderId="13" xfId="0" applyNumberFormat="1" applyFont="1" applyBorder="1" applyAlignment="1">
      <alignment horizontal="center" vertical="center"/>
    </xf>
    <xf numFmtId="180" fontId="33" fillId="0" borderId="13" xfId="1" applyNumberFormat="1" applyFont="1" applyBorder="1" applyAlignment="1">
      <alignment horizontal="center" vertical="center"/>
    </xf>
    <xf numFmtId="183" fontId="29" fillId="0" borderId="19" xfId="0" applyNumberFormat="1" applyFont="1" applyBorder="1" applyAlignment="1">
      <alignment horizontal="center" vertical="center"/>
    </xf>
    <xf numFmtId="180" fontId="33" fillId="0" borderId="13" xfId="0" applyNumberFormat="1" applyFont="1" applyBorder="1" applyAlignment="1">
      <alignment horizontal="center" vertical="center"/>
    </xf>
    <xf numFmtId="3" fontId="29" fillId="0" borderId="68" xfId="0" applyNumberFormat="1" applyFont="1" applyBorder="1" applyAlignment="1">
      <alignment horizontal="center" vertical="center"/>
    </xf>
    <xf numFmtId="0" fontId="30" fillId="2" borderId="13" xfId="0" applyFont="1" applyFill="1" applyBorder="1" applyAlignment="1">
      <alignment horizontal="center" vertical="center"/>
    </xf>
    <xf numFmtId="49" fontId="34" fillId="0" borderId="13" xfId="0" applyNumberFormat="1" applyFont="1" applyBorder="1" applyAlignment="1">
      <alignment horizontal="center" vertical="center"/>
    </xf>
    <xf numFmtId="49" fontId="28" fillId="0" borderId="13" xfId="0" applyNumberFormat="1" applyFont="1" applyBorder="1" applyAlignment="1">
      <alignment horizontal="center" vertical="center"/>
    </xf>
    <xf numFmtId="183" fontId="29" fillId="0" borderId="69" xfId="0" applyNumberFormat="1" applyFont="1" applyBorder="1" applyAlignment="1">
      <alignment horizontal="center" vertical="center"/>
    </xf>
    <xf numFmtId="183" fontId="31" fillId="0" borderId="4" xfId="0" applyNumberFormat="1" applyFont="1" applyBorder="1" applyAlignment="1">
      <alignment horizontal="center" vertical="center"/>
    </xf>
    <xf numFmtId="49" fontId="28" fillId="0" borderId="13" xfId="1" applyNumberFormat="1" applyFont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21" fillId="6" borderId="16" xfId="0" applyFont="1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43" xfId="0" applyFill="1" applyBorder="1" applyAlignment="1">
      <alignment horizontal="center" vertic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</cellXfs>
  <cellStyles count="3">
    <cellStyle name="쉼표 [0]" xfId="1" builtinId="6"/>
    <cellStyle name="표준" xfId="0" builtinId="0"/>
    <cellStyle name="표준 2" xfId="2" xr:uid="{A351E768-8404-4487-ADAD-20D6ADC5A3C1}"/>
  </cellStyles>
  <dxfs count="947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rgb="FFFF0000"/>
      </font>
    </dxf>
    <dxf>
      <font>
        <color rgb="FF0000FF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rgb="FF0000FF"/>
      </font>
    </dxf>
    <dxf>
      <font>
        <color rgb="FFFF0000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rgb="FFFF0000"/>
      </font>
    </dxf>
    <dxf>
      <font>
        <color rgb="FF0000FF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rgb="FF0000FF"/>
      </font>
    </dxf>
    <dxf>
      <font>
        <color rgb="FFFF0000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rgb="FFFF0000"/>
      </font>
    </dxf>
    <dxf>
      <font>
        <color rgb="FF0000FF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rgb="FFFF0000"/>
      </font>
    </dxf>
    <dxf>
      <font>
        <color rgb="FF0000FF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rgb="FFFF0000"/>
      </font>
    </dxf>
    <dxf>
      <font>
        <color rgb="FF0000FF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rgb="FF0000FF"/>
      </font>
    </dxf>
    <dxf>
      <font>
        <color rgb="FFFF0000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rgb="FF0000FF"/>
      </font>
    </dxf>
    <dxf>
      <font>
        <color rgb="FFFF0000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rgb="FFFF0000"/>
      </font>
    </dxf>
    <dxf>
      <font>
        <color rgb="FF0000FF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colors>
    <mruColors>
      <color rgb="FF1F11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709A-0700-4DA0-A392-26CF1B7E5C2C}">
  <sheetPr>
    <pageSetUpPr fitToPage="1"/>
  </sheetPr>
  <dimension ref="A1:U62"/>
  <sheetViews>
    <sheetView zoomScaleNormal="100" workbookViewId="0">
      <pane ySplit="1" topLeftCell="A3" activePane="bottomLeft" state="frozen"/>
      <selection pane="bottomLeft" activeCell="G6" sqref="G6"/>
    </sheetView>
  </sheetViews>
  <sheetFormatPr defaultColWidth="9" defaultRowHeight="10.8" x14ac:dyDescent="0.4"/>
  <cols>
    <col min="1" max="1" width="16.09765625" style="2" bestFit="1" customWidth="1"/>
    <col min="2" max="2" width="5" style="2" bestFit="1" customWidth="1"/>
    <col min="3" max="3" width="6.69921875" style="2" bestFit="1" customWidth="1"/>
    <col min="4" max="4" width="11.5" style="11" customWidth="1"/>
    <col min="5" max="5" width="12.3984375" style="61" bestFit="1" customWidth="1"/>
    <col min="6" max="11" width="9" style="2"/>
    <col min="12" max="12" width="9" style="2" customWidth="1"/>
    <col min="13" max="18" width="9" style="2"/>
    <col min="19" max="19" width="9" style="12"/>
    <col min="20" max="20" width="9.69921875" style="1" bestFit="1" customWidth="1"/>
    <col min="21" max="16384" width="9" style="2"/>
  </cols>
  <sheetData>
    <row r="1" spans="1:21" s="1" customFormat="1" ht="30" customHeight="1" x14ac:dyDescent="0.4">
      <c r="A1" s="47" t="s">
        <v>0</v>
      </c>
      <c r="B1" s="47" t="s">
        <v>1</v>
      </c>
      <c r="C1" s="47" t="s">
        <v>2</v>
      </c>
      <c r="D1" s="48" t="s">
        <v>3</v>
      </c>
      <c r="E1" s="49" t="s">
        <v>286</v>
      </c>
      <c r="F1" s="47" t="s">
        <v>4</v>
      </c>
      <c r="G1" s="47" t="s">
        <v>5</v>
      </c>
      <c r="H1" s="47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50" t="s">
        <v>14</v>
      </c>
      <c r="Q1" s="50" t="s">
        <v>253</v>
      </c>
      <c r="R1" s="51" t="s">
        <v>287</v>
      </c>
      <c r="S1" s="47" t="s">
        <v>15</v>
      </c>
      <c r="T1" s="47" t="s">
        <v>16</v>
      </c>
    </row>
    <row r="2" spans="1:21" s="1" customFormat="1" ht="30" hidden="1" customHeight="1" x14ac:dyDescent="0.4">
      <c r="A2" s="52" t="s">
        <v>251</v>
      </c>
      <c r="B2" s="52" t="s">
        <v>249</v>
      </c>
      <c r="C2" s="52" t="s">
        <v>250</v>
      </c>
      <c r="D2" s="53">
        <v>40238</v>
      </c>
      <c r="E2" s="59">
        <v>0</v>
      </c>
      <c r="F2" s="52"/>
      <c r="G2" s="52"/>
      <c r="H2" s="52"/>
      <c r="I2" s="52"/>
      <c r="J2" s="52"/>
      <c r="K2" s="52"/>
      <c r="L2" s="52"/>
      <c r="M2" s="52"/>
      <c r="N2" s="52"/>
      <c r="O2" s="52"/>
      <c r="P2" s="54"/>
      <c r="Q2" s="54"/>
      <c r="R2" s="57">
        <f>SUM(F2:Q2)</f>
        <v>0</v>
      </c>
      <c r="S2" s="52">
        <v>21</v>
      </c>
      <c r="T2" s="82">
        <f>E2-R2+S2</f>
        <v>21</v>
      </c>
    </row>
    <row r="3" spans="1:21" ht="30" customHeight="1" x14ac:dyDescent="0.4">
      <c r="A3" s="96" t="s">
        <v>17</v>
      </c>
      <c r="B3" s="8" t="s">
        <v>18</v>
      </c>
      <c r="C3" s="8" t="s">
        <v>19</v>
      </c>
      <c r="D3" s="7">
        <v>40238</v>
      </c>
      <c r="E3" s="55">
        <v>0</v>
      </c>
      <c r="F3" s="8"/>
      <c r="G3" s="8">
        <v>1</v>
      </c>
      <c r="H3" s="8">
        <v>1</v>
      </c>
      <c r="I3" s="8"/>
      <c r="J3" s="8"/>
      <c r="K3" s="8">
        <v>2</v>
      </c>
      <c r="L3" s="8"/>
      <c r="M3" s="8">
        <v>3</v>
      </c>
      <c r="N3" s="8"/>
      <c r="O3" s="8">
        <v>4</v>
      </c>
      <c r="P3" s="56"/>
      <c r="Q3" s="56"/>
      <c r="R3" s="57">
        <f>SUM(F3:Q3)</f>
        <v>11</v>
      </c>
      <c r="S3" s="4">
        <v>15</v>
      </c>
      <c r="T3" s="92">
        <f>E3-R3+S3</f>
        <v>4</v>
      </c>
    </row>
    <row r="4" spans="1:21" s="6" customFormat="1" ht="30" customHeight="1" x14ac:dyDescent="0.4">
      <c r="A4" s="97"/>
      <c r="B4" s="8" t="s">
        <v>20</v>
      </c>
      <c r="C4" s="8" t="s">
        <v>21</v>
      </c>
      <c r="D4" s="7">
        <v>44774</v>
      </c>
      <c r="E4" s="55">
        <v>8.5</v>
      </c>
      <c r="F4" s="8">
        <v>1.5</v>
      </c>
      <c r="G4" s="8"/>
      <c r="H4" s="8">
        <v>1</v>
      </c>
      <c r="I4" s="8"/>
      <c r="J4" s="8">
        <v>1.5</v>
      </c>
      <c r="K4" s="8">
        <v>0.5</v>
      </c>
      <c r="L4" s="8">
        <v>3</v>
      </c>
      <c r="M4" s="58"/>
      <c r="N4" s="56">
        <v>1</v>
      </c>
      <c r="O4" s="56">
        <v>0.5</v>
      </c>
      <c r="P4" s="56"/>
      <c r="Q4" s="56"/>
      <c r="R4" s="57">
        <f>SUM(M4:Q4)</f>
        <v>1.5</v>
      </c>
      <c r="S4" s="4">
        <v>16</v>
      </c>
      <c r="T4" s="92">
        <f>S4-R4</f>
        <v>14.5</v>
      </c>
    </row>
    <row r="5" spans="1:21" s="6" customFormat="1" ht="30" customHeight="1" x14ac:dyDescent="0.4">
      <c r="A5" s="97"/>
      <c r="B5" s="8" t="s">
        <v>467</v>
      </c>
      <c r="C5" s="8" t="s">
        <v>468</v>
      </c>
      <c r="D5" s="7">
        <v>45755</v>
      </c>
      <c r="E5" s="55">
        <v>0</v>
      </c>
      <c r="F5" s="8"/>
      <c r="G5" s="8"/>
      <c r="H5" s="8"/>
      <c r="I5" s="8"/>
      <c r="J5" s="8">
        <v>1</v>
      </c>
      <c r="K5" s="8"/>
      <c r="L5" s="8"/>
      <c r="M5" s="8">
        <v>3</v>
      </c>
      <c r="N5" s="56">
        <v>1</v>
      </c>
      <c r="O5" s="56">
        <v>1</v>
      </c>
      <c r="P5" s="56"/>
      <c r="Q5" s="56"/>
      <c r="R5" s="57">
        <f t="shared" ref="R5:R10" si="0">SUM(F5:Q5)</f>
        <v>6</v>
      </c>
      <c r="S5" s="4">
        <v>6</v>
      </c>
      <c r="T5" s="92">
        <f t="shared" ref="T5:T33" si="1">E5-R5+S5</f>
        <v>0</v>
      </c>
    </row>
    <row r="6" spans="1:21" ht="30" customHeight="1" x14ac:dyDescent="0.4">
      <c r="A6" s="97"/>
      <c r="B6" s="8" t="s">
        <v>22</v>
      </c>
      <c r="C6" s="8" t="s">
        <v>23</v>
      </c>
      <c r="D6" s="7">
        <v>45076</v>
      </c>
      <c r="E6" s="55">
        <v>0</v>
      </c>
      <c r="F6" s="4">
        <v>1</v>
      </c>
      <c r="G6" s="4"/>
      <c r="H6" s="4">
        <v>1.5</v>
      </c>
      <c r="I6" s="4">
        <v>1.5</v>
      </c>
      <c r="J6" s="4">
        <v>2</v>
      </c>
      <c r="K6" s="4">
        <v>0.5</v>
      </c>
      <c r="L6" s="4"/>
      <c r="M6" s="8">
        <v>3</v>
      </c>
      <c r="N6" s="4">
        <v>1</v>
      </c>
      <c r="O6" s="4">
        <v>1</v>
      </c>
      <c r="P6" s="4"/>
      <c r="Q6" s="4"/>
      <c r="R6" s="57">
        <f>SUM(K6:Q6)</f>
        <v>5.5</v>
      </c>
      <c r="S6" s="4">
        <v>15</v>
      </c>
      <c r="T6" s="92">
        <f>E6-R6+S6</f>
        <v>9.5</v>
      </c>
    </row>
    <row r="7" spans="1:21" ht="30" customHeight="1" x14ac:dyDescent="0.4">
      <c r="A7" s="97"/>
      <c r="B7" s="8" t="s">
        <v>22</v>
      </c>
      <c r="C7" s="8" t="s">
        <v>247</v>
      </c>
      <c r="D7" s="7">
        <v>45586</v>
      </c>
      <c r="E7" s="55">
        <v>2</v>
      </c>
      <c r="F7" s="8">
        <v>1</v>
      </c>
      <c r="G7" s="8"/>
      <c r="H7" s="8">
        <v>2</v>
      </c>
      <c r="I7" s="8"/>
      <c r="J7" s="8"/>
      <c r="K7" s="8"/>
      <c r="L7" s="8"/>
      <c r="M7" s="8">
        <v>3</v>
      </c>
      <c r="N7" s="8">
        <v>2</v>
      </c>
      <c r="O7" s="8">
        <v>3.5</v>
      </c>
      <c r="P7" s="56"/>
      <c r="Q7" s="56"/>
      <c r="R7" s="57">
        <f>SUM(P7:Q7)+0.5</f>
        <v>0.5</v>
      </c>
      <c r="S7" s="4">
        <v>15</v>
      </c>
      <c r="T7" s="92">
        <v>14.5</v>
      </c>
      <c r="U7" s="2">
        <v>10</v>
      </c>
    </row>
    <row r="8" spans="1:21" ht="30" hidden="1" customHeight="1" x14ac:dyDescent="0.4">
      <c r="A8" s="97"/>
      <c r="B8" s="8" t="s">
        <v>22</v>
      </c>
      <c r="C8" s="8" t="s">
        <v>248</v>
      </c>
      <c r="D8" s="7">
        <v>45596</v>
      </c>
      <c r="E8" s="55">
        <v>0</v>
      </c>
      <c r="F8" s="8"/>
      <c r="G8" s="8"/>
      <c r="H8" s="8"/>
      <c r="I8" s="8"/>
      <c r="J8" s="8"/>
      <c r="K8" s="8"/>
      <c r="L8" s="8"/>
      <c r="M8" s="8"/>
      <c r="N8" s="8"/>
      <c r="O8" s="8"/>
      <c r="P8" s="56"/>
      <c r="Q8" s="56"/>
      <c r="R8" s="57">
        <f t="shared" si="0"/>
        <v>0</v>
      </c>
      <c r="S8" s="4">
        <v>0</v>
      </c>
      <c r="T8" s="82">
        <f t="shared" si="1"/>
        <v>0</v>
      </c>
    </row>
    <row r="9" spans="1:21" ht="30" customHeight="1" x14ac:dyDescent="0.4">
      <c r="A9" s="97"/>
      <c r="B9" s="8" t="s">
        <v>24</v>
      </c>
      <c r="C9" s="8" t="s">
        <v>177</v>
      </c>
      <c r="D9" s="7">
        <v>45306</v>
      </c>
      <c r="E9" s="55">
        <v>0</v>
      </c>
      <c r="F9" s="8"/>
      <c r="G9" s="8"/>
      <c r="H9" s="8">
        <v>2</v>
      </c>
      <c r="I9" s="8"/>
      <c r="J9" s="8"/>
      <c r="K9" s="8">
        <v>1</v>
      </c>
      <c r="L9" s="8"/>
      <c r="M9" s="8">
        <v>3</v>
      </c>
      <c r="N9" s="8">
        <v>1</v>
      </c>
      <c r="O9" s="8"/>
      <c r="P9" s="56"/>
      <c r="Q9" s="56"/>
      <c r="R9" s="57">
        <f t="shared" si="0"/>
        <v>7</v>
      </c>
      <c r="S9" s="4">
        <v>15</v>
      </c>
      <c r="T9" s="92">
        <f t="shared" si="1"/>
        <v>8</v>
      </c>
    </row>
    <row r="10" spans="1:21" ht="30" hidden="1" customHeight="1" x14ac:dyDescent="0.4">
      <c r="A10" s="97"/>
      <c r="B10" s="8" t="s">
        <v>24</v>
      </c>
      <c r="C10" s="8" t="s">
        <v>25</v>
      </c>
      <c r="D10" s="7">
        <v>44872</v>
      </c>
      <c r="E10" s="55">
        <v>13</v>
      </c>
      <c r="F10" s="8">
        <v>1</v>
      </c>
      <c r="G10" s="8">
        <v>1.5</v>
      </c>
      <c r="H10" s="8">
        <v>1</v>
      </c>
      <c r="I10" s="8">
        <v>1</v>
      </c>
      <c r="J10" s="8"/>
      <c r="K10" s="8"/>
      <c r="L10" s="8"/>
      <c r="M10" s="8"/>
      <c r="N10" s="8"/>
      <c r="O10" s="8"/>
      <c r="P10" s="56"/>
      <c r="Q10" s="56"/>
      <c r="R10" s="57">
        <f t="shared" si="0"/>
        <v>4.5</v>
      </c>
      <c r="S10" s="4">
        <v>0</v>
      </c>
      <c r="T10" s="82">
        <f t="shared" si="1"/>
        <v>8.5</v>
      </c>
    </row>
    <row r="11" spans="1:21" ht="30" customHeight="1" x14ac:dyDescent="0.4">
      <c r="A11" s="97"/>
      <c r="B11" s="8" t="s">
        <v>24</v>
      </c>
      <c r="C11" s="8" t="s">
        <v>26</v>
      </c>
      <c r="D11" s="7">
        <v>45224</v>
      </c>
      <c r="E11" s="55">
        <v>15</v>
      </c>
      <c r="F11" s="8"/>
      <c r="G11" s="8"/>
      <c r="H11" s="8"/>
      <c r="I11" s="8"/>
      <c r="J11" s="8"/>
      <c r="K11" s="8">
        <v>1</v>
      </c>
      <c r="L11" s="8"/>
      <c r="M11" s="8">
        <v>3</v>
      </c>
      <c r="N11" s="8"/>
      <c r="O11" s="8">
        <v>1</v>
      </c>
      <c r="P11" s="56"/>
      <c r="Q11" s="56"/>
      <c r="R11" s="57">
        <f>SUM(P11:Q11)</f>
        <v>0</v>
      </c>
      <c r="S11" s="4">
        <v>15</v>
      </c>
      <c r="T11" s="92">
        <f>R11+S11</f>
        <v>15</v>
      </c>
    </row>
    <row r="12" spans="1:21" ht="30" customHeight="1" x14ac:dyDescent="0.4">
      <c r="A12" s="97"/>
      <c r="B12" s="8" t="s">
        <v>24</v>
      </c>
      <c r="C12" s="8" t="s">
        <v>469</v>
      </c>
      <c r="D12" s="7">
        <v>45765</v>
      </c>
      <c r="E12" s="55">
        <v>0</v>
      </c>
      <c r="F12" s="8"/>
      <c r="G12" s="8"/>
      <c r="H12" s="8"/>
      <c r="I12" s="8"/>
      <c r="J12" s="8">
        <v>1</v>
      </c>
      <c r="K12" s="8">
        <v>1</v>
      </c>
      <c r="L12" s="8">
        <v>2</v>
      </c>
      <c r="M12" s="8"/>
      <c r="N12" s="8">
        <v>1</v>
      </c>
      <c r="O12" s="8">
        <v>2</v>
      </c>
      <c r="P12" s="56"/>
      <c r="Q12" s="56"/>
      <c r="R12" s="57">
        <f>SUM(F12:Q12)</f>
        <v>7</v>
      </c>
      <c r="S12" s="4">
        <v>6</v>
      </c>
      <c r="T12" s="92">
        <f t="shared" si="1"/>
        <v>-1</v>
      </c>
      <c r="U12" s="93" t="s">
        <v>578</v>
      </c>
    </row>
    <row r="13" spans="1:21" ht="30" customHeight="1" x14ac:dyDescent="0.4">
      <c r="A13" s="98"/>
      <c r="B13" s="8" t="s">
        <v>24</v>
      </c>
      <c r="C13" s="8" t="s">
        <v>577</v>
      </c>
      <c r="D13" s="7">
        <v>45943</v>
      </c>
      <c r="E13" s="55">
        <v>0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56"/>
      <c r="Q13" s="56"/>
      <c r="R13" s="57">
        <f>SUM(F13:Q13)</f>
        <v>0</v>
      </c>
      <c r="S13" s="4">
        <v>0</v>
      </c>
      <c r="T13" s="92">
        <f t="shared" si="1"/>
        <v>0</v>
      </c>
    </row>
    <row r="14" spans="1:21" ht="30" customHeight="1" x14ac:dyDescent="0.4">
      <c r="A14" s="96" t="s">
        <v>27</v>
      </c>
      <c r="B14" s="8" t="s">
        <v>28</v>
      </c>
      <c r="C14" s="8" t="s">
        <v>29</v>
      </c>
      <c r="D14" s="7">
        <v>40269</v>
      </c>
      <c r="E14" s="55">
        <v>0</v>
      </c>
      <c r="F14" s="4"/>
      <c r="G14" s="4"/>
      <c r="H14" s="4"/>
      <c r="I14" s="4"/>
      <c r="J14" s="4"/>
      <c r="K14" s="4"/>
      <c r="L14" s="4"/>
      <c r="M14" s="4">
        <v>1</v>
      </c>
      <c r="N14" s="4"/>
      <c r="O14" s="4"/>
      <c r="P14" s="4"/>
      <c r="Q14" s="4"/>
      <c r="R14" s="57">
        <f t="shared" ref="R14:R32" si="2">SUM(F14:Q14)</f>
        <v>1</v>
      </c>
      <c r="S14" s="4">
        <v>15</v>
      </c>
      <c r="T14" s="92">
        <f t="shared" si="1"/>
        <v>14</v>
      </c>
    </row>
    <row r="15" spans="1:21" ht="30" customHeight="1" x14ac:dyDescent="0.4">
      <c r="A15" s="97"/>
      <c r="B15" s="8" t="s">
        <v>22</v>
      </c>
      <c r="C15" s="8" t="s">
        <v>30</v>
      </c>
      <c r="D15" s="7">
        <v>44361</v>
      </c>
      <c r="E15" s="55">
        <v>9.5</v>
      </c>
      <c r="F15" s="4">
        <v>0.5</v>
      </c>
      <c r="G15" s="4">
        <v>1</v>
      </c>
      <c r="H15" s="4">
        <v>0.5</v>
      </c>
      <c r="I15" s="4">
        <v>1.5</v>
      </c>
      <c r="J15" s="4">
        <v>4</v>
      </c>
      <c r="K15" s="4">
        <v>3</v>
      </c>
      <c r="L15" s="4">
        <v>1</v>
      </c>
      <c r="M15" s="4"/>
      <c r="N15" s="4"/>
      <c r="O15" s="4">
        <v>2</v>
      </c>
      <c r="P15" s="4"/>
      <c r="Q15" s="4"/>
      <c r="R15" s="57">
        <f t="shared" si="2"/>
        <v>13.5</v>
      </c>
      <c r="S15" s="4">
        <v>16</v>
      </c>
      <c r="T15" s="92">
        <f t="shared" si="1"/>
        <v>12</v>
      </c>
    </row>
    <row r="16" spans="1:21" ht="30" hidden="1" customHeight="1" x14ac:dyDescent="0.4">
      <c r="A16" s="97"/>
      <c r="B16" s="8" t="s">
        <v>529</v>
      </c>
      <c r="C16" s="81" t="s">
        <v>530</v>
      </c>
      <c r="D16" s="7">
        <v>45810</v>
      </c>
      <c r="E16" s="55">
        <v>0</v>
      </c>
      <c r="F16" s="4"/>
      <c r="G16" s="4"/>
      <c r="H16" s="4"/>
      <c r="I16" s="4"/>
      <c r="J16" s="4"/>
      <c r="K16" s="4"/>
      <c r="L16" s="4">
        <v>4</v>
      </c>
      <c r="M16" s="4"/>
      <c r="N16" s="4"/>
      <c r="O16" s="4"/>
      <c r="P16" s="4"/>
      <c r="Q16" s="4"/>
      <c r="R16" s="57">
        <f>SUM(F16:Q16)</f>
        <v>4</v>
      </c>
      <c r="S16" s="4">
        <v>1</v>
      </c>
      <c r="T16" s="82">
        <f t="shared" si="1"/>
        <v>-3</v>
      </c>
    </row>
    <row r="17" spans="1:21" ht="30" customHeight="1" x14ac:dyDescent="0.4">
      <c r="A17" s="97"/>
      <c r="B17" s="8" t="s">
        <v>529</v>
      </c>
      <c r="C17" s="8" t="s">
        <v>531</v>
      </c>
      <c r="D17" s="7">
        <v>45840</v>
      </c>
      <c r="E17" s="55">
        <v>0</v>
      </c>
      <c r="F17" s="4"/>
      <c r="G17" s="4"/>
      <c r="H17" s="4"/>
      <c r="I17" s="4"/>
      <c r="J17" s="4"/>
      <c r="K17" s="4"/>
      <c r="L17" s="4"/>
      <c r="M17" s="4"/>
      <c r="N17" s="4">
        <v>1</v>
      </c>
      <c r="O17" s="4"/>
      <c r="P17" s="4"/>
      <c r="Q17" s="4"/>
      <c r="R17" s="57">
        <f>SUM(F17:Q17)</f>
        <v>1</v>
      </c>
      <c r="S17" s="4">
        <v>3</v>
      </c>
      <c r="T17" s="92">
        <f t="shared" si="1"/>
        <v>2</v>
      </c>
    </row>
    <row r="18" spans="1:21" s="9" customFormat="1" ht="30" hidden="1" customHeight="1" x14ac:dyDescent="0.4">
      <c r="A18" s="97"/>
      <c r="B18" s="8" t="s">
        <v>24</v>
      </c>
      <c r="C18" s="8" t="s">
        <v>32</v>
      </c>
      <c r="D18" s="7">
        <v>44791</v>
      </c>
      <c r="E18" s="55">
        <v>12</v>
      </c>
      <c r="F18" s="4"/>
      <c r="G18" s="4">
        <v>1.5</v>
      </c>
      <c r="H18" s="4">
        <v>1</v>
      </c>
      <c r="I18" s="4">
        <v>1</v>
      </c>
      <c r="J18" s="4">
        <v>0.5</v>
      </c>
      <c r="K18" s="4">
        <v>3</v>
      </c>
      <c r="L18" s="4">
        <v>1</v>
      </c>
      <c r="M18" s="4"/>
      <c r="N18" s="4"/>
      <c r="O18" s="4"/>
      <c r="P18" s="4"/>
      <c r="Q18" s="4"/>
      <c r="R18" s="57">
        <f t="shared" si="2"/>
        <v>8</v>
      </c>
      <c r="S18" s="4">
        <v>0</v>
      </c>
      <c r="T18" s="82">
        <f t="shared" si="1"/>
        <v>4</v>
      </c>
    </row>
    <row r="19" spans="1:21" s="9" customFormat="1" ht="30" hidden="1" customHeight="1" x14ac:dyDescent="0.4">
      <c r="A19" s="97"/>
      <c r="B19" s="8" t="s">
        <v>24</v>
      </c>
      <c r="C19" s="8" t="s">
        <v>33</v>
      </c>
      <c r="D19" s="7">
        <v>45203</v>
      </c>
      <c r="E19" s="55">
        <v>13</v>
      </c>
      <c r="F19" s="4">
        <v>0.5</v>
      </c>
      <c r="G19" s="4">
        <v>1</v>
      </c>
      <c r="H19" s="4">
        <v>0.5</v>
      </c>
      <c r="I19" s="4">
        <v>2.5</v>
      </c>
      <c r="J19" s="4"/>
      <c r="K19" s="4"/>
      <c r="L19" s="4"/>
      <c r="M19" s="4"/>
      <c r="N19" s="4"/>
      <c r="O19" s="4"/>
      <c r="P19" s="4"/>
      <c r="Q19" s="4"/>
      <c r="R19" s="57">
        <f t="shared" si="2"/>
        <v>4.5</v>
      </c>
      <c r="S19" s="4">
        <v>0</v>
      </c>
      <c r="T19" s="82">
        <f t="shared" si="1"/>
        <v>8.5</v>
      </c>
    </row>
    <row r="20" spans="1:21" s="6" customFormat="1" ht="30" hidden="1" customHeight="1" x14ac:dyDescent="0.4">
      <c r="A20" s="97"/>
      <c r="B20" s="8" t="s">
        <v>225</v>
      </c>
      <c r="C20" s="8" t="s">
        <v>226</v>
      </c>
      <c r="D20" s="7">
        <v>45425</v>
      </c>
      <c r="E20" s="55">
        <v>0</v>
      </c>
      <c r="F20" s="4">
        <v>1</v>
      </c>
      <c r="G20" s="4">
        <v>0.5</v>
      </c>
      <c r="H20" s="4">
        <v>1</v>
      </c>
      <c r="I20" s="4"/>
      <c r="J20" s="4">
        <v>1</v>
      </c>
      <c r="K20" s="4"/>
      <c r="L20" s="4"/>
      <c r="M20" s="4"/>
      <c r="N20" s="4"/>
      <c r="O20" s="4"/>
      <c r="P20" s="4"/>
      <c r="Q20" s="4"/>
      <c r="R20" s="57">
        <f>SUM(K20:Q20)</f>
        <v>0</v>
      </c>
      <c r="S20" s="4">
        <v>15</v>
      </c>
      <c r="T20" s="82">
        <f>E20-R20+S20</f>
        <v>15</v>
      </c>
      <c r="U20" s="6">
        <v>1</v>
      </c>
    </row>
    <row r="21" spans="1:21" s="6" customFormat="1" ht="30" customHeight="1" x14ac:dyDescent="0.4">
      <c r="A21" s="97"/>
      <c r="B21" s="8" t="s">
        <v>24</v>
      </c>
      <c r="C21" s="8" t="s">
        <v>246</v>
      </c>
      <c r="D21" s="7">
        <v>45572</v>
      </c>
      <c r="E21" s="55">
        <v>0</v>
      </c>
      <c r="F21" s="4"/>
      <c r="G21" s="4">
        <v>1</v>
      </c>
      <c r="H21" s="4">
        <v>1</v>
      </c>
      <c r="I21" s="4">
        <v>1</v>
      </c>
      <c r="J21" s="4">
        <v>0.5</v>
      </c>
      <c r="K21" s="4">
        <v>0.5</v>
      </c>
      <c r="L21" s="4">
        <v>3</v>
      </c>
      <c r="M21" s="4">
        <v>1</v>
      </c>
      <c r="N21" s="4">
        <v>1</v>
      </c>
      <c r="O21" s="4"/>
      <c r="P21" s="4"/>
      <c r="Q21" s="4"/>
      <c r="R21" s="57">
        <f>SUM(F21:Q21)</f>
        <v>9</v>
      </c>
      <c r="S21" s="4">
        <v>9</v>
      </c>
      <c r="T21" s="92">
        <f t="shared" ref="T21" si="3">E21-R21+S21</f>
        <v>0</v>
      </c>
      <c r="U21" s="6">
        <v>8</v>
      </c>
    </row>
    <row r="22" spans="1:21" s="6" customFormat="1" ht="30" customHeight="1" x14ac:dyDescent="0.4">
      <c r="A22" s="97"/>
      <c r="B22" s="8" t="s">
        <v>24</v>
      </c>
      <c r="C22" s="8" t="s">
        <v>566</v>
      </c>
      <c r="D22" s="7">
        <v>45901</v>
      </c>
      <c r="E22" s="55">
        <v>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57">
        <f>SUM(F22:Q22)</f>
        <v>0</v>
      </c>
      <c r="S22" s="4">
        <v>1</v>
      </c>
      <c r="T22" s="92">
        <f t="shared" ref="T22" si="4">E22-R22+S22</f>
        <v>1</v>
      </c>
      <c r="U22" s="6">
        <v>8</v>
      </c>
    </row>
    <row r="23" spans="1:21" s="6" customFormat="1" ht="30" hidden="1" customHeight="1" x14ac:dyDescent="0.4">
      <c r="A23" s="98"/>
      <c r="B23" s="8" t="s">
        <v>24</v>
      </c>
      <c r="C23" s="81" t="s">
        <v>500</v>
      </c>
      <c r="D23" s="7">
        <v>45803</v>
      </c>
      <c r="E23" s="55">
        <v>0</v>
      </c>
      <c r="F23" s="4"/>
      <c r="G23" s="4"/>
      <c r="H23" s="4"/>
      <c r="I23" s="4"/>
      <c r="J23" s="4"/>
      <c r="K23" s="4">
        <v>2.5</v>
      </c>
      <c r="L23" s="4"/>
      <c r="M23" s="4"/>
      <c r="N23" s="4"/>
      <c r="O23" s="4"/>
      <c r="P23" s="4"/>
      <c r="Q23" s="4"/>
      <c r="R23" s="57">
        <f t="shared" si="2"/>
        <v>2.5</v>
      </c>
      <c r="S23" s="4">
        <v>2</v>
      </c>
      <c r="T23" s="82">
        <f t="shared" si="1"/>
        <v>-0.5</v>
      </c>
      <c r="U23" s="6">
        <v>8</v>
      </c>
    </row>
    <row r="24" spans="1:21" ht="30" customHeight="1" x14ac:dyDescent="0.4">
      <c r="A24" s="99" t="s">
        <v>34</v>
      </c>
      <c r="B24" s="8" t="s">
        <v>28</v>
      </c>
      <c r="C24" s="8" t="s">
        <v>35</v>
      </c>
      <c r="D24" s="7">
        <v>40871</v>
      </c>
      <c r="E24" s="55">
        <v>0</v>
      </c>
      <c r="F24" s="4"/>
      <c r="G24" s="4"/>
      <c r="H24" s="4"/>
      <c r="I24" s="4"/>
      <c r="J24" s="4"/>
      <c r="K24" s="4"/>
      <c r="L24" s="4"/>
      <c r="M24" s="4"/>
      <c r="N24" s="4">
        <v>3</v>
      </c>
      <c r="O24" s="4">
        <v>2</v>
      </c>
      <c r="P24" s="4"/>
      <c r="Q24" s="4"/>
      <c r="R24" s="57">
        <f t="shared" si="2"/>
        <v>5</v>
      </c>
      <c r="S24" s="4">
        <v>15</v>
      </c>
      <c r="T24" s="92">
        <f t="shared" si="1"/>
        <v>10</v>
      </c>
    </row>
    <row r="25" spans="1:21" ht="30" customHeight="1" x14ac:dyDescent="0.4">
      <c r="A25" s="100"/>
      <c r="B25" s="8" t="s">
        <v>20</v>
      </c>
      <c r="C25" s="8" t="s">
        <v>36</v>
      </c>
      <c r="D25" s="7">
        <v>44684</v>
      </c>
      <c r="E25" s="55">
        <v>0</v>
      </c>
      <c r="F25" s="4">
        <v>1</v>
      </c>
      <c r="G25" s="4">
        <v>1</v>
      </c>
      <c r="H25" s="4">
        <v>2</v>
      </c>
      <c r="I25" s="4"/>
      <c r="J25" s="4">
        <v>0.5</v>
      </c>
      <c r="K25" s="4"/>
      <c r="L25" s="4">
        <v>2</v>
      </c>
      <c r="M25" s="4"/>
      <c r="N25" s="4">
        <v>2</v>
      </c>
      <c r="O25" s="4"/>
      <c r="P25" s="4"/>
      <c r="Q25" s="4"/>
      <c r="R25" s="57">
        <f>SUM(J25:Q25)</f>
        <v>4.5</v>
      </c>
      <c r="S25" s="4">
        <v>16</v>
      </c>
      <c r="T25" s="92">
        <f t="shared" si="1"/>
        <v>11.5</v>
      </c>
    </row>
    <row r="26" spans="1:21" s="10" customFormat="1" ht="30" customHeight="1" x14ac:dyDescent="0.4">
      <c r="A26" s="100"/>
      <c r="B26" s="8" t="s">
        <v>20</v>
      </c>
      <c r="C26" s="8" t="s">
        <v>209</v>
      </c>
      <c r="D26" s="7">
        <v>45352</v>
      </c>
      <c r="E26" s="55">
        <v>4.5</v>
      </c>
      <c r="F26" s="3"/>
      <c r="G26" s="4">
        <v>1</v>
      </c>
      <c r="H26" s="4">
        <v>1</v>
      </c>
      <c r="I26" s="4">
        <v>0.5</v>
      </c>
      <c r="J26" s="4">
        <v>0.5</v>
      </c>
      <c r="K26" s="4">
        <v>1</v>
      </c>
      <c r="L26" s="4">
        <v>1</v>
      </c>
      <c r="M26" s="4">
        <v>1</v>
      </c>
      <c r="N26" s="4">
        <v>3</v>
      </c>
      <c r="O26" s="4">
        <v>1</v>
      </c>
      <c r="P26" s="3"/>
      <c r="Q26" s="4"/>
      <c r="R26" s="57">
        <f>SUM(H26:Q26)</f>
        <v>9</v>
      </c>
      <c r="S26" s="4">
        <v>15</v>
      </c>
      <c r="T26" s="92">
        <f>S26-R26</f>
        <v>6</v>
      </c>
    </row>
    <row r="27" spans="1:21" s="9" customFormat="1" ht="30" hidden="1" customHeight="1" x14ac:dyDescent="0.4">
      <c r="A27" s="100"/>
      <c r="B27" s="8" t="s">
        <v>24</v>
      </c>
      <c r="C27" s="8" t="s">
        <v>239</v>
      </c>
      <c r="D27" s="7">
        <v>45488</v>
      </c>
      <c r="E27" s="55">
        <v>0</v>
      </c>
      <c r="F27" s="4">
        <v>0.5</v>
      </c>
      <c r="G27" s="4">
        <v>0.5</v>
      </c>
      <c r="H27" s="4">
        <v>1</v>
      </c>
      <c r="I27" s="4">
        <v>1.5</v>
      </c>
      <c r="J27" s="4">
        <v>1</v>
      </c>
      <c r="K27" s="4">
        <v>1.5</v>
      </c>
      <c r="L27" s="4">
        <v>1</v>
      </c>
      <c r="M27" s="4"/>
      <c r="N27" s="4"/>
      <c r="O27" s="4"/>
      <c r="P27" s="4"/>
      <c r="Q27" s="4"/>
      <c r="R27" s="57">
        <f>SUM(M27:Q27)</f>
        <v>0</v>
      </c>
      <c r="S27" s="4">
        <v>15</v>
      </c>
      <c r="T27" s="82">
        <f t="shared" ref="T27:T31" si="5">E27-R27+S27</f>
        <v>15</v>
      </c>
      <c r="U27" s="6">
        <v>7</v>
      </c>
    </row>
    <row r="28" spans="1:21" s="10" customFormat="1" ht="30" hidden="1" customHeight="1" x14ac:dyDescent="0.4">
      <c r="A28" s="100"/>
      <c r="B28" s="8" t="s">
        <v>501</v>
      </c>
      <c r="C28" s="8" t="s">
        <v>502</v>
      </c>
      <c r="D28" s="7">
        <v>45762</v>
      </c>
      <c r="E28" s="55">
        <v>0</v>
      </c>
      <c r="F28" s="3"/>
      <c r="G28" s="4"/>
      <c r="H28" s="4"/>
      <c r="I28" s="4"/>
      <c r="J28" s="3"/>
      <c r="K28" s="4"/>
      <c r="L28" s="4">
        <v>1</v>
      </c>
      <c r="M28" s="4"/>
      <c r="N28" s="3"/>
      <c r="O28" s="4"/>
      <c r="P28" s="3"/>
      <c r="Q28" s="4"/>
      <c r="R28" s="57">
        <f>SUM(F28:Q28)</f>
        <v>1</v>
      </c>
      <c r="S28" s="4">
        <v>3</v>
      </c>
      <c r="T28" s="82">
        <f t="shared" si="5"/>
        <v>2</v>
      </c>
    </row>
    <row r="29" spans="1:21" s="10" customFormat="1" ht="30" customHeight="1" x14ac:dyDescent="0.4">
      <c r="A29" s="100"/>
      <c r="B29" s="8" t="s">
        <v>24</v>
      </c>
      <c r="C29" s="8" t="s">
        <v>554</v>
      </c>
      <c r="D29" s="7">
        <v>45887</v>
      </c>
      <c r="E29" s="55">
        <v>0</v>
      </c>
      <c r="F29" s="3"/>
      <c r="G29" s="4"/>
      <c r="H29" s="4"/>
      <c r="I29" s="4"/>
      <c r="J29" s="3"/>
      <c r="K29" s="4"/>
      <c r="L29" s="4"/>
      <c r="M29" s="4"/>
      <c r="N29" s="3"/>
      <c r="O29" s="4"/>
      <c r="P29" s="3"/>
      <c r="Q29" s="4"/>
      <c r="R29" s="57">
        <v>0</v>
      </c>
      <c r="S29" s="4">
        <v>2</v>
      </c>
      <c r="T29" s="92">
        <f>S29-R29</f>
        <v>2</v>
      </c>
    </row>
    <row r="30" spans="1:21" s="10" customFormat="1" ht="30" customHeight="1" x14ac:dyDescent="0.4">
      <c r="A30" s="101"/>
      <c r="B30" s="8" t="s">
        <v>24</v>
      </c>
      <c r="C30" s="8" t="s">
        <v>567</v>
      </c>
      <c r="D30" s="7">
        <v>45904</v>
      </c>
      <c r="E30" s="55">
        <v>0</v>
      </c>
      <c r="F30" s="3"/>
      <c r="G30" s="4"/>
      <c r="H30" s="4"/>
      <c r="I30" s="4"/>
      <c r="J30" s="3"/>
      <c r="K30" s="4"/>
      <c r="L30" s="4"/>
      <c r="M30" s="4"/>
      <c r="N30" s="3"/>
      <c r="O30" s="4">
        <v>0.5</v>
      </c>
      <c r="P30" s="3"/>
      <c r="Q30" s="4"/>
      <c r="R30" s="57">
        <f>SUM(O30:Q30)</f>
        <v>0.5</v>
      </c>
      <c r="S30" s="4">
        <v>1</v>
      </c>
      <c r="T30" s="92">
        <f>S30-R30</f>
        <v>0.5</v>
      </c>
    </row>
    <row r="31" spans="1:21" s="10" customFormat="1" ht="30" hidden="1" customHeight="1" x14ac:dyDescent="0.4">
      <c r="A31" s="84"/>
      <c r="B31" s="8" t="s">
        <v>24</v>
      </c>
      <c r="C31" s="8" t="s">
        <v>532</v>
      </c>
      <c r="D31" s="7">
        <v>45810</v>
      </c>
      <c r="E31" s="55">
        <v>0</v>
      </c>
      <c r="F31" s="3"/>
      <c r="G31" s="4"/>
      <c r="H31" s="4"/>
      <c r="I31" s="4"/>
      <c r="J31" s="3"/>
      <c r="K31" s="4">
        <v>1</v>
      </c>
      <c r="L31" s="4"/>
      <c r="M31" s="4"/>
      <c r="N31" s="3"/>
      <c r="O31" s="4"/>
      <c r="P31" s="3"/>
      <c r="Q31" s="4"/>
      <c r="R31" s="57">
        <f>SUM(F31:Q31)</f>
        <v>1</v>
      </c>
      <c r="S31" s="4">
        <v>1</v>
      </c>
      <c r="T31" s="82">
        <f t="shared" si="5"/>
        <v>0</v>
      </c>
    </row>
    <row r="32" spans="1:21" s="9" customFormat="1" ht="30" hidden="1" customHeight="1" x14ac:dyDescent="0.4">
      <c r="A32" s="79"/>
      <c r="B32" s="8" t="s">
        <v>22</v>
      </c>
      <c r="C32" s="8" t="s">
        <v>31</v>
      </c>
      <c r="D32" s="7">
        <v>45222</v>
      </c>
      <c r="E32" s="55">
        <v>12</v>
      </c>
      <c r="F32" s="4">
        <v>0.5</v>
      </c>
      <c r="G32" s="4">
        <v>0.5</v>
      </c>
      <c r="H32" s="4">
        <v>1</v>
      </c>
      <c r="I32" s="4">
        <v>1.5</v>
      </c>
      <c r="J32" s="4">
        <v>0.5</v>
      </c>
      <c r="K32" s="4"/>
      <c r="L32" s="4"/>
      <c r="M32" s="4"/>
      <c r="N32" s="4"/>
      <c r="O32" s="4"/>
      <c r="P32" s="4"/>
      <c r="Q32" s="4"/>
      <c r="R32" s="57">
        <f t="shared" si="2"/>
        <v>4</v>
      </c>
      <c r="S32" s="4">
        <v>0</v>
      </c>
      <c r="T32" s="5">
        <f t="shared" si="1"/>
        <v>8</v>
      </c>
    </row>
    <row r="33" spans="1:21" s="9" customFormat="1" ht="30" hidden="1" customHeight="1" x14ac:dyDescent="0.4">
      <c r="A33" s="80"/>
      <c r="B33" s="8" t="s">
        <v>24</v>
      </c>
      <c r="C33" s="8" t="s">
        <v>220</v>
      </c>
      <c r="D33" s="7">
        <v>45411</v>
      </c>
      <c r="E33" s="55">
        <v>-1</v>
      </c>
      <c r="F33" s="4">
        <v>3</v>
      </c>
      <c r="G33" s="4">
        <v>2</v>
      </c>
      <c r="H33" s="4">
        <v>1</v>
      </c>
      <c r="I33" s="4">
        <v>6</v>
      </c>
      <c r="J33" s="3"/>
      <c r="K33" s="3"/>
      <c r="L33" s="4"/>
      <c r="M33" s="4"/>
      <c r="N33" s="3"/>
      <c r="O33" s="3"/>
      <c r="P33" s="4"/>
      <c r="Q33" s="4"/>
      <c r="R33" s="57">
        <f>SUM(I33:Q33)+E33</f>
        <v>5</v>
      </c>
      <c r="S33" s="4">
        <v>15</v>
      </c>
      <c r="T33" s="5">
        <f t="shared" si="1"/>
        <v>9</v>
      </c>
      <c r="U33" s="6">
        <v>2</v>
      </c>
    </row>
    <row r="34" spans="1:21" x14ac:dyDescent="0.4">
      <c r="F34" s="2">
        <f t="shared" ref="F34:Q34" si="6">SUM(F3:F33)</f>
        <v>11.5</v>
      </c>
      <c r="G34" s="2">
        <f t="shared" si="6"/>
        <v>12.5</v>
      </c>
      <c r="H34" s="2">
        <f t="shared" si="6"/>
        <v>18.5</v>
      </c>
      <c r="I34" s="2">
        <f t="shared" si="6"/>
        <v>18</v>
      </c>
      <c r="J34" s="2">
        <f t="shared" si="6"/>
        <v>14</v>
      </c>
      <c r="K34" s="2">
        <f>SUM(K3:K33)</f>
        <v>18.5</v>
      </c>
      <c r="L34" s="2">
        <f t="shared" si="6"/>
        <v>19</v>
      </c>
      <c r="M34" s="2">
        <f t="shared" si="6"/>
        <v>21</v>
      </c>
      <c r="N34" s="2">
        <f t="shared" si="6"/>
        <v>17</v>
      </c>
      <c r="O34" s="2">
        <f t="shared" si="6"/>
        <v>18.5</v>
      </c>
      <c r="P34" s="2">
        <f t="shared" si="6"/>
        <v>0</v>
      </c>
      <c r="Q34" s="2">
        <f t="shared" si="6"/>
        <v>0</v>
      </c>
      <c r="R34" s="37"/>
    </row>
    <row r="36" spans="1:21" x14ac:dyDescent="0.4">
      <c r="B36" s="13"/>
      <c r="C36" s="13"/>
      <c r="D36" s="13"/>
      <c r="E36" s="62"/>
    </row>
    <row r="37" spans="1:21" x14ac:dyDescent="0.4">
      <c r="B37" s="13"/>
      <c r="C37" s="13"/>
      <c r="D37" s="13"/>
      <c r="E37" s="62"/>
    </row>
    <row r="38" spans="1:21" x14ac:dyDescent="0.4">
      <c r="B38" s="13"/>
      <c r="C38" s="13"/>
      <c r="D38" s="13"/>
      <c r="E38" s="62"/>
    </row>
    <row r="39" spans="1:21" x14ac:dyDescent="0.4">
      <c r="B39" s="13"/>
      <c r="C39" s="13"/>
      <c r="D39" s="13"/>
      <c r="E39" s="62"/>
    </row>
    <row r="40" spans="1:21" x14ac:dyDescent="0.4">
      <c r="B40" s="13"/>
      <c r="C40" s="13"/>
      <c r="D40" s="13"/>
      <c r="E40" s="62"/>
    </row>
    <row r="41" spans="1:21" x14ac:dyDescent="0.4">
      <c r="B41" s="13"/>
      <c r="C41" s="13"/>
      <c r="D41" s="13"/>
      <c r="E41" s="62"/>
    </row>
    <row r="42" spans="1:21" x14ac:dyDescent="0.4">
      <c r="B42" s="13"/>
      <c r="C42" s="13"/>
      <c r="D42" s="13"/>
      <c r="E42" s="62"/>
    </row>
    <row r="43" spans="1:21" x14ac:dyDescent="0.4">
      <c r="B43" s="13"/>
      <c r="C43" s="13"/>
      <c r="D43" s="13"/>
      <c r="E43" s="62"/>
    </row>
    <row r="62" spans="12:12" x14ac:dyDescent="0.4">
      <c r="L62" s="42"/>
    </row>
  </sheetData>
  <mergeCells count="3">
    <mergeCell ref="A14:A23"/>
    <mergeCell ref="A24:A30"/>
    <mergeCell ref="A3:A13"/>
  </mergeCells>
  <phoneticPr fontId="5" type="noConversion"/>
  <pageMargins left="0.25" right="0.25" top="0.75" bottom="0.75" header="0.3" footer="0.3"/>
  <pageSetup paperSize="9" scale="70" orientation="landscape" cellComments="asDisplaye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BD60-2051-4C45-BF20-0497B690800F}">
  <sheetPr>
    <pageSetUpPr fitToPage="1"/>
  </sheetPr>
  <dimension ref="A1:BP42"/>
  <sheetViews>
    <sheetView topLeftCell="B1" zoomScale="85" zoomScaleNormal="85" workbookViewId="0">
      <pane xSplit="2" ySplit="2" topLeftCell="D3" activePane="bottomRight" state="frozen"/>
      <selection activeCell="B1" sqref="B1"/>
      <selection pane="topRight" activeCell="D1" sqref="D1"/>
      <selection pane="bottomLeft" activeCell="B3" sqref="B3"/>
      <selection pane="bottomRight" activeCell="J8" sqref="J8"/>
    </sheetView>
  </sheetViews>
  <sheetFormatPr defaultColWidth="9" defaultRowHeight="15.6" x14ac:dyDescent="0.4"/>
  <cols>
    <col min="1" max="1" width="17.19921875" style="27" customWidth="1"/>
    <col min="2" max="2" width="5.8984375" style="27" customWidth="1"/>
    <col min="3" max="3" width="13" style="35" customWidth="1"/>
    <col min="4" max="4" width="7.3984375" style="35" customWidth="1"/>
    <col min="5" max="35" width="5.3984375" style="27" customWidth="1"/>
    <col min="36" max="38" width="9" style="27" customWidth="1"/>
    <col min="39" max="39" width="9.59765625" style="36" customWidth="1"/>
    <col min="40" max="16384" width="9" style="27"/>
  </cols>
  <sheetData>
    <row r="1" spans="1:68" s="15" customFormat="1" ht="36.75" customHeight="1" thickBot="1" x14ac:dyDescent="0.45">
      <c r="A1" s="130">
        <v>45078</v>
      </c>
      <c r="B1" s="130"/>
      <c r="C1" s="131"/>
      <c r="D1" s="132">
        <v>45658</v>
      </c>
      <c r="E1" s="133"/>
      <c r="F1" s="133"/>
      <c r="G1" s="133"/>
      <c r="H1" s="133"/>
      <c r="I1" s="13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M1" s="16"/>
    </row>
    <row r="2" spans="1:68" s="23" customFormat="1" ht="21.75" customHeight="1" x14ac:dyDescent="0.4">
      <c r="A2" s="135" t="s">
        <v>37</v>
      </c>
      <c r="B2" s="137" t="s">
        <v>38</v>
      </c>
      <c r="C2" s="139" t="s">
        <v>39</v>
      </c>
      <c r="D2" s="17" t="s">
        <v>40</v>
      </c>
      <c r="E2" s="18">
        <f>D1</f>
        <v>45658</v>
      </c>
      <c r="F2" s="19">
        <f>E2+1</f>
        <v>45659</v>
      </c>
      <c r="G2" s="19">
        <f t="shared" ref="G2:AI2" si="0">F2+1</f>
        <v>45660</v>
      </c>
      <c r="H2" s="19">
        <f t="shared" si="0"/>
        <v>45661</v>
      </c>
      <c r="I2" s="19">
        <f t="shared" si="0"/>
        <v>45662</v>
      </c>
      <c r="J2" s="19">
        <f t="shared" si="0"/>
        <v>45663</v>
      </c>
      <c r="K2" s="19">
        <f t="shared" si="0"/>
        <v>45664</v>
      </c>
      <c r="L2" s="19">
        <f t="shared" si="0"/>
        <v>45665</v>
      </c>
      <c r="M2" s="19">
        <f t="shared" si="0"/>
        <v>45666</v>
      </c>
      <c r="N2" s="19">
        <f t="shared" si="0"/>
        <v>45667</v>
      </c>
      <c r="O2" s="19">
        <f t="shared" si="0"/>
        <v>45668</v>
      </c>
      <c r="P2" s="19">
        <f t="shared" si="0"/>
        <v>45669</v>
      </c>
      <c r="Q2" s="19">
        <f t="shared" si="0"/>
        <v>45670</v>
      </c>
      <c r="R2" s="19">
        <f t="shared" si="0"/>
        <v>45671</v>
      </c>
      <c r="S2" s="18">
        <f t="shared" si="0"/>
        <v>45672</v>
      </c>
      <c r="T2" s="19">
        <f t="shared" si="0"/>
        <v>45673</v>
      </c>
      <c r="U2" s="19">
        <f t="shared" si="0"/>
        <v>45674</v>
      </c>
      <c r="V2" s="19">
        <f t="shared" si="0"/>
        <v>45675</v>
      </c>
      <c r="W2" s="19">
        <f t="shared" si="0"/>
        <v>45676</v>
      </c>
      <c r="X2" s="19">
        <f t="shared" si="0"/>
        <v>45677</v>
      </c>
      <c r="Y2" s="19">
        <f t="shared" si="0"/>
        <v>45678</v>
      </c>
      <c r="Z2" s="19">
        <f t="shared" si="0"/>
        <v>45679</v>
      </c>
      <c r="AA2" s="20">
        <f t="shared" si="0"/>
        <v>45680</v>
      </c>
      <c r="AB2" s="20">
        <f t="shared" si="0"/>
        <v>45681</v>
      </c>
      <c r="AC2" s="21">
        <f>AB2+1</f>
        <v>45682</v>
      </c>
      <c r="AD2" s="19">
        <f t="shared" si="0"/>
        <v>45683</v>
      </c>
      <c r="AE2" s="19">
        <f t="shared" si="0"/>
        <v>45684</v>
      </c>
      <c r="AF2" s="19">
        <f t="shared" si="0"/>
        <v>45685</v>
      </c>
      <c r="AG2" s="19">
        <f t="shared" si="0"/>
        <v>45686</v>
      </c>
      <c r="AH2" s="19">
        <f t="shared" si="0"/>
        <v>45687</v>
      </c>
      <c r="AI2" s="19">
        <f t="shared" si="0"/>
        <v>45688</v>
      </c>
      <c r="AJ2" s="141" t="s">
        <v>41</v>
      </c>
      <c r="AK2" s="145" t="s">
        <v>42</v>
      </c>
      <c r="AL2" s="147" t="s">
        <v>43</v>
      </c>
      <c r="AM2" s="149" t="s">
        <v>44</v>
      </c>
      <c r="AN2" s="151" t="s">
        <v>45</v>
      </c>
      <c r="AO2" s="153" t="s">
        <v>46</v>
      </c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</row>
    <row r="3" spans="1:68" s="24" customFormat="1" ht="18" thickBot="1" x14ac:dyDescent="0.45">
      <c r="A3" s="136"/>
      <c r="B3" s="138"/>
      <c r="C3" s="140"/>
      <c r="D3" s="38" t="s">
        <v>47</v>
      </c>
      <c r="E3" s="39">
        <f>E2</f>
        <v>45658</v>
      </c>
      <c r="F3" s="40">
        <f t="shared" ref="F3:AI3" si="1">F2</f>
        <v>45659</v>
      </c>
      <c r="G3" s="40">
        <f t="shared" si="1"/>
        <v>45660</v>
      </c>
      <c r="H3" s="40">
        <f t="shared" si="1"/>
        <v>45661</v>
      </c>
      <c r="I3" s="40">
        <f t="shared" si="1"/>
        <v>45662</v>
      </c>
      <c r="J3" s="40">
        <f t="shared" si="1"/>
        <v>45663</v>
      </c>
      <c r="K3" s="40">
        <f t="shared" si="1"/>
        <v>45664</v>
      </c>
      <c r="L3" s="40">
        <f t="shared" si="1"/>
        <v>45665</v>
      </c>
      <c r="M3" s="40">
        <f t="shared" si="1"/>
        <v>45666</v>
      </c>
      <c r="N3" s="40">
        <f t="shared" si="1"/>
        <v>45667</v>
      </c>
      <c r="O3" s="40">
        <f t="shared" si="1"/>
        <v>45668</v>
      </c>
      <c r="P3" s="40">
        <f t="shared" si="1"/>
        <v>45669</v>
      </c>
      <c r="Q3" s="40">
        <f t="shared" si="1"/>
        <v>45670</v>
      </c>
      <c r="R3" s="40">
        <f t="shared" si="1"/>
        <v>45671</v>
      </c>
      <c r="S3" s="39">
        <f t="shared" si="1"/>
        <v>45672</v>
      </c>
      <c r="T3" s="40">
        <f t="shared" si="1"/>
        <v>45673</v>
      </c>
      <c r="U3" s="40">
        <f t="shared" si="1"/>
        <v>45674</v>
      </c>
      <c r="V3" s="40">
        <f t="shared" si="1"/>
        <v>45675</v>
      </c>
      <c r="W3" s="40">
        <f t="shared" si="1"/>
        <v>45676</v>
      </c>
      <c r="X3" s="40">
        <f t="shared" si="1"/>
        <v>45677</v>
      </c>
      <c r="Y3" s="40">
        <f t="shared" si="1"/>
        <v>45678</v>
      </c>
      <c r="Z3" s="40">
        <f t="shared" si="1"/>
        <v>45679</v>
      </c>
      <c r="AA3" s="40">
        <f t="shared" si="1"/>
        <v>45680</v>
      </c>
      <c r="AB3" s="40">
        <f t="shared" si="1"/>
        <v>45681</v>
      </c>
      <c r="AC3" s="40">
        <f t="shared" si="1"/>
        <v>45682</v>
      </c>
      <c r="AD3" s="40">
        <f t="shared" si="1"/>
        <v>45683</v>
      </c>
      <c r="AE3" s="94">
        <f t="shared" si="1"/>
        <v>45684</v>
      </c>
      <c r="AF3" s="94">
        <f t="shared" si="1"/>
        <v>45685</v>
      </c>
      <c r="AG3" s="94">
        <f t="shared" si="1"/>
        <v>45686</v>
      </c>
      <c r="AH3" s="94">
        <f t="shared" si="1"/>
        <v>45687</v>
      </c>
      <c r="AI3" s="40">
        <f t="shared" si="1"/>
        <v>45688</v>
      </c>
      <c r="AJ3" s="142"/>
      <c r="AK3" s="146"/>
      <c r="AL3" s="148"/>
      <c r="AM3" s="150"/>
      <c r="AN3" s="152"/>
      <c r="AO3" s="154"/>
    </row>
    <row r="4" spans="1:68" ht="21.75" customHeight="1" thickBot="1" x14ac:dyDescent="0.45">
      <c r="A4" s="155" t="s">
        <v>48</v>
      </c>
      <c r="B4" s="143" t="s">
        <v>67</v>
      </c>
      <c r="C4" s="159" t="s">
        <v>50</v>
      </c>
      <c r="D4" s="33" t="s">
        <v>51</v>
      </c>
      <c r="E4" s="43" t="s">
        <v>580</v>
      </c>
      <c r="F4" s="34" t="s">
        <v>260</v>
      </c>
      <c r="G4" s="34" t="s">
        <v>261</v>
      </c>
      <c r="H4" s="34" t="s">
        <v>70</v>
      </c>
      <c r="I4" s="34" t="s">
        <v>70</v>
      </c>
      <c r="J4" s="34" t="s">
        <v>262</v>
      </c>
      <c r="K4" s="34" t="s">
        <v>121</v>
      </c>
      <c r="L4" s="34" t="s">
        <v>121</v>
      </c>
      <c r="M4" s="34" t="s">
        <v>236</v>
      </c>
      <c r="N4" s="34" t="s">
        <v>263</v>
      </c>
      <c r="O4" s="34" t="s">
        <v>70</v>
      </c>
      <c r="P4" s="34" t="s">
        <v>70</v>
      </c>
      <c r="Q4" s="34" t="s">
        <v>264</v>
      </c>
      <c r="R4" s="34" t="s">
        <v>238</v>
      </c>
      <c r="S4" s="34" t="s">
        <v>264</v>
      </c>
      <c r="T4" s="34" t="s">
        <v>181</v>
      </c>
      <c r="U4" s="126" t="s">
        <v>176</v>
      </c>
      <c r="V4" s="34" t="s">
        <v>70</v>
      </c>
      <c r="W4" s="34" t="s">
        <v>70</v>
      </c>
      <c r="X4" s="34" t="s">
        <v>211</v>
      </c>
      <c r="Y4" s="34" t="s">
        <v>230</v>
      </c>
      <c r="Z4" s="34" t="s">
        <v>263</v>
      </c>
      <c r="AA4" s="34" t="s">
        <v>265</v>
      </c>
      <c r="AB4" s="34" t="s">
        <v>231</v>
      </c>
      <c r="AC4" s="34" t="s">
        <v>70</v>
      </c>
      <c r="AD4" s="34" t="s">
        <v>70</v>
      </c>
      <c r="AE4" s="95" t="s">
        <v>579</v>
      </c>
      <c r="AF4" s="95" t="s">
        <v>579</v>
      </c>
      <c r="AG4" s="95" t="s">
        <v>579</v>
      </c>
      <c r="AH4" s="95" t="s">
        <v>579</v>
      </c>
      <c r="AI4" s="34" t="s">
        <v>182</v>
      </c>
      <c r="AJ4" s="160">
        <v>15</v>
      </c>
      <c r="AK4" s="161"/>
      <c r="AL4" s="163"/>
      <c r="AM4" s="164">
        <v>1.5</v>
      </c>
      <c r="AN4" s="165">
        <f>(F4+G4+J4+K4+L4+M4+N4+Q4+R4+S4+T4+X4+Y4+Z4+AA4+AB4+AI4)/17</f>
        <v>0.2990196078431373</v>
      </c>
      <c r="AO4" s="104">
        <f>(F5+G5+J5+K5+M5+N5+Q5+R5+S5+T5+X5+Y5+AA5+AI5)/14</f>
        <v>0.78075396825396826</v>
      </c>
      <c r="AQ4" s="24"/>
    </row>
    <row r="5" spans="1:68" ht="21.75" customHeight="1" thickTop="1" thickBot="1" x14ac:dyDescent="0.45">
      <c r="A5" s="156"/>
      <c r="B5" s="118"/>
      <c r="C5" s="120"/>
      <c r="D5" s="25" t="s">
        <v>52</v>
      </c>
      <c r="E5" s="43" t="s">
        <v>580</v>
      </c>
      <c r="F5" s="26" t="s">
        <v>102</v>
      </c>
      <c r="G5" s="26" t="s">
        <v>98</v>
      </c>
      <c r="H5" s="26" t="s">
        <v>70</v>
      </c>
      <c r="I5" s="26" t="s">
        <v>70</v>
      </c>
      <c r="J5" s="26" t="s">
        <v>166</v>
      </c>
      <c r="K5" s="26" t="s">
        <v>98</v>
      </c>
      <c r="L5" s="41" t="s">
        <v>279</v>
      </c>
      <c r="M5" s="26" t="s">
        <v>83</v>
      </c>
      <c r="N5" s="26" t="s">
        <v>89</v>
      </c>
      <c r="O5" s="26" t="s">
        <v>70</v>
      </c>
      <c r="P5" s="26" t="s">
        <v>70</v>
      </c>
      <c r="Q5" s="26" t="s">
        <v>150</v>
      </c>
      <c r="R5" s="26" t="s">
        <v>123</v>
      </c>
      <c r="S5" s="26" t="s">
        <v>123</v>
      </c>
      <c r="T5" s="26" t="s">
        <v>85</v>
      </c>
      <c r="U5" s="126"/>
      <c r="V5" s="26" t="s">
        <v>70</v>
      </c>
      <c r="W5" s="26" t="s">
        <v>70</v>
      </c>
      <c r="X5" s="26" t="s">
        <v>165</v>
      </c>
      <c r="Y5" s="26" t="s">
        <v>116</v>
      </c>
      <c r="Z5" s="26" t="s">
        <v>266</v>
      </c>
      <c r="AA5" s="26" t="s">
        <v>80</v>
      </c>
      <c r="AB5" s="26" t="s">
        <v>267</v>
      </c>
      <c r="AC5" s="26" t="s">
        <v>70</v>
      </c>
      <c r="AD5" s="26" t="s">
        <v>70</v>
      </c>
      <c r="AE5" s="95" t="s">
        <v>579</v>
      </c>
      <c r="AF5" s="95" t="s">
        <v>579</v>
      </c>
      <c r="AG5" s="95" t="s">
        <v>579</v>
      </c>
      <c r="AH5" s="95" t="s">
        <v>579</v>
      </c>
      <c r="AI5" s="26" t="s">
        <v>84</v>
      </c>
      <c r="AJ5" s="127"/>
      <c r="AK5" s="162"/>
      <c r="AL5" s="108"/>
      <c r="AM5" s="110"/>
      <c r="AN5" s="114"/>
      <c r="AO5" s="105"/>
      <c r="AP5" s="28"/>
    </row>
    <row r="6" spans="1:68" ht="21.75" customHeight="1" thickTop="1" thickBot="1" x14ac:dyDescent="0.45">
      <c r="A6" s="156"/>
      <c r="B6" s="118" t="s">
        <v>53</v>
      </c>
      <c r="C6" s="120" t="s">
        <v>54</v>
      </c>
      <c r="D6" s="25" t="s">
        <v>51</v>
      </c>
      <c r="E6" s="43" t="s">
        <v>580</v>
      </c>
      <c r="F6" s="26" t="s">
        <v>68</v>
      </c>
      <c r="G6" s="26" t="s">
        <v>121</v>
      </c>
      <c r="H6" s="26" t="s">
        <v>70</v>
      </c>
      <c r="I6" s="26" t="s">
        <v>70</v>
      </c>
      <c r="J6" s="26" t="s">
        <v>71</v>
      </c>
      <c r="K6" s="26" t="s">
        <v>156</v>
      </c>
      <c r="L6" s="26" t="s">
        <v>72</v>
      </c>
      <c r="M6" s="26" t="s">
        <v>68</v>
      </c>
      <c r="N6" s="26" t="s">
        <v>160</v>
      </c>
      <c r="O6" s="26" t="s">
        <v>70</v>
      </c>
      <c r="P6" s="26" t="s">
        <v>70</v>
      </c>
      <c r="Q6" s="26" t="s">
        <v>121</v>
      </c>
      <c r="R6" s="26" t="s">
        <v>120</v>
      </c>
      <c r="S6" s="26" t="s">
        <v>120</v>
      </c>
      <c r="T6" s="26" t="s">
        <v>121</v>
      </c>
      <c r="U6" s="126" t="s">
        <v>176</v>
      </c>
      <c r="V6" s="26" t="s">
        <v>70</v>
      </c>
      <c r="W6" s="26" t="s">
        <v>70</v>
      </c>
      <c r="X6" s="26" t="s">
        <v>121</v>
      </c>
      <c r="Y6" s="26" t="s">
        <v>68</v>
      </c>
      <c r="Z6" s="26" t="s">
        <v>71</v>
      </c>
      <c r="AA6" s="26" t="s">
        <v>71</v>
      </c>
      <c r="AB6" s="26" t="s">
        <v>160</v>
      </c>
      <c r="AC6" s="26" t="s">
        <v>70</v>
      </c>
      <c r="AD6" s="26" t="s">
        <v>70</v>
      </c>
      <c r="AE6" s="95" t="s">
        <v>579</v>
      </c>
      <c r="AF6" s="95" t="s">
        <v>579</v>
      </c>
      <c r="AG6" s="95" t="s">
        <v>579</v>
      </c>
      <c r="AH6" s="95" t="s">
        <v>579</v>
      </c>
      <c r="AI6" s="26" t="s">
        <v>68</v>
      </c>
      <c r="AJ6" s="112"/>
      <c r="AK6" s="106"/>
      <c r="AL6" s="107"/>
      <c r="AM6" s="109">
        <v>1</v>
      </c>
      <c r="AN6" s="113">
        <f>(F6+G6+J6+K6+L6+M6+N6+Q6+R6+S6+T6+X6+Y6+Z6+AA6+AB6+AI6)/17</f>
        <v>0.36911764705882355</v>
      </c>
      <c r="AO6" s="104">
        <f>(F7+G7+J7+K7+L7+M7+N7+Q7+R7+S7+T7+X7+Y7+AA7+AI7)/15</f>
        <v>0.75962962962962954</v>
      </c>
    </row>
    <row r="7" spans="1:68" ht="21.75" customHeight="1" thickTop="1" thickBot="1" x14ac:dyDescent="0.45">
      <c r="A7" s="156"/>
      <c r="B7" s="118"/>
      <c r="C7" s="120"/>
      <c r="D7" s="25" t="s">
        <v>52</v>
      </c>
      <c r="E7" s="43" t="s">
        <v>580</v>
      </c>
      <c r="F7" s="26" t="s">
        <v>228</v>
      </c>
      <c r="G7" s="26" t="s">
        <v>229</v>
      </c>
      <c r="H7" s="26" t="s">
        <v>70</v>
      </c>
      <c r="I7" s="26" t="s">
        <v>70</v>
      </c>
      <c r="J7" s="26" t="s">
        <v>200</v>
      </c>
      <c r="K7" s="26" t="s">
        <v>228</v>
      </c>
      <c r="L7" s="26" t="s">
        <v>168</v>
      </c>
      <c r="M7" s="26" t="s">
        <v>184</v>
      </c>
      <c r="N7" s="26" t="s">
        <v>240</v>
      </c>
      <c r="O7" s="26" t="s">
        <v>70</v>
      </c>
      <c r="P7" s="26" t="s">
        <v>70</v>
      </c>
      <c r="Q7" s="26" t="s">
        <v>235</v>
      </c>
      <c r="R7" s="26" t="s">
        <v>240</v>
      </c>
      <c r="S7" s="26" t="s">
        <v>102</v>
      </c>
      <c r="T7" s="26" t="s">
        <v>123</v>
      </c>
      <c r="U7" s="126"/>
      <c r="V7" s="26" t="s">
        <v>70</v>
      </c>
      <c r="W7" s="26" t="s">
        <v>70</v>
      </c>
      <c r="X7" s="26" t="s">
        <v>200</v>
      </c>
      <c r="Y7" s="26" t="s">
        <v>222</v>
      </c>
      <c r="Z7" s="26" t="s">
        <v>255</v>
      </c>
      <c r="AA7" s="26" t="s">
        <v>235</v>
      </c>
      <c r="AB7" s="26" t="s">
        <v>256</v>
      </c>
      <c r="AC7" s="26" t="s">
        <v>70</v>
      </c>
      <c r="AD7" s="26" t="s">
        <v>70</v>
      </c>
      <c r="AE7" s="95" t="s">
        <v>579</v>
      </c>
      <c r="AF7" s="95" t="s">
        <v>579</v>
      </c>
      <c r="AG7" s="95" t="s">
        <v>579</v>
      </c>
      <c r="AH7" s="95" t="s">
        <v>579</v>
      </c>
      <c r="AI7" s="26" t="s">
        <v>103</v>
      </c>
      <c r="AJ7" s="112"/>
      <c r="AK7" s="106"/>
      <c r="AL7" s="108"/>
      <c r="AM7" s="110"/>
      <c r="AN7" s="114"/>
      <c r="AO7" s="105"/>
    </row>
    <row r="8" spans="1:68" ht="21.75" customHeight="1" thickTop="1" thickBot="1" x14ac:dyDescent="0.45">
      <c r="A8" s="156"/>
      <c r="B8" s="118" t="s">
        <v>53</v>
      </c>
      <c r="C8" s="120" t="s">
        <v>55</v>
      </c>
      <c r="D8" s="25" t="s">
        <v>51</v>
      </c>
      <c r="E8" s="43" t="s">
        <v>580</v>
      </c>
      <c r="F8" s="26" t="s">
        <v>120</v>
      </c>
      <c r="G8" s="26" t="s">
        <v>79</v>
      </c>
      <c r="H8" s="26" t="s">
        <v>70</v>
      </c>
      <c r="I8" s="26" t="s">
        <v>70</v>
      </c>
      <c r="J8" s="26" t="s">
        <v>135</v>
      </c>
      <c r="K8" s="26" t="s">
        <v>143</v>
      </c>
      <c r="L8" s="26" t="s">
        <v>79</v>
      </c>
      <c r="M8" s="26" t="s">
        <v>69</v>
      </c>
      <c r="N8" s="26" t="s">
        <v>179</v>
      </c>
      <c r="O8" s="26" t="s">
        <v>70</v>
      </c>
      <c r="P8" s="26" t="s">
        <v>70</v>
      </c>
      <c r="Q8" s="26" t="s">
        <v>119</v>
      </c>
      <c r="R8" s="26" t="s">
        <v>139</v>
      </c>
      <c r="S8" s="26" t="s">
        <v>100</v>
      </c>
      <c r="T8" s="26" t="s">
        <v>120</v>
      </c>
      <c r="U8" s="26" t="s">
        <v>135</v>
      </c>
      <c r="V8" s="26" t="s">
        <v>70</v>
      </c>
      <c r="W8" s="26" t="s">
        <v>70</v>
      </c>
      <c r="X8" s="26" t="s">
        <v>139</v>
      </c>
      <c r="Y8" s="26" t="s">
        <v>136</v>
      </c>
      <c r="Z8" s="26" t="s">
        <v>109</v>
      </c>
      <c r="AA8" s="126" t="s">
        <v>176</v>
      </c>
      <c r="AB8" s="26" t="s">
        <v>135</v>
      </c>
      <c r="AC8" s="26" t="s">
        <v>70</v>
      </c>
      <c r="AD8" s="26" t="s">
        <v>70</v>
      </c>
      <c r="AE8" s="95" t="s">
        <v>579</v>
      </c>
      <c r="AF8" s="95" t="s">
        <v>579</v>
      </c>
      <c r="AG8" s="95" t="s">
        <v>579</v>
      </c>
      <c r="AH8" s="95" t="s">
        <v>579</v>
      </c>
      <c r="AI8" s="26" t="s">
        <v>122</v>
      </c>
      <c r="AJ8" s="112"/>
      <c r="AK8" s="106"/>
      <c r="AL8" s="107"/>
      <c r="AM8" s="109">
        <v>1</v>
      </c>
      <c r="AN8" s="113">
        <f>(F8+G8+J8+K8+L8+M8+N8+Q8+R8+S8+T8+U8+X8+Y8+Z8+AB8+AI8)/17</f>
        <v>0.36192810457516345</v>
      </c>
      <c r="AO8" s="104">
        <f>(F9+G9+J9+K9+L9+M9+N9+Q9+R9+S9+T9+U9+X9+Y9+AI9)/15</f>
        <v>0.8153703703703703</v>
      </c>
    </row>
    <row r="9" spans="1:68" ht="21.75" customHeight="1" thickTop="1" thickBot="1" x14ac:dyDescent="0.45">
      <c r="A9" s="156"/>
      <c r="B9" s="118"/>
      <c r="C9" s="120"/>
      <c r="D9" s="25" t="s">
        <v>52</v>
      </c>
      <c r="E9" s="43" t="s">
        <v>580</v>
      </c>
      <c r="F9" s="26" t="s">
        <v>128</v>
      </c>
      <c r="G9" s="26" t="s">
        <v>212</v>
      </c>
      <c r="H9" s="26" t="s">
        <v>70</v>
      </c>
      <c r="I9" s="26" t="s">
        <v>70</v>
      </c>
      <c r="J9" s="26" t="s">
        <v>189</v>
      </c>
      <c r="K9" s="26" t="s">
        <v>208</v>
      </c>
      <c r="L9" s="26" t="s">
        <v>129</v>
      </c>
      <c r="M9" s="26" t="s">
        <v>150</v>
      </c>
      <c r="N9" s="26" t="s">
        <v>89</v>
      </c>
      <c r="O9" s="26" t="s">
        <v>70</v>
      </c>
      <c r="P9" s="26" t="s">
        <v>70</v>
      </c>
      <c r="Q9" s="26" t="s">
        <v>115</v>
      </c>
      <c r="R9" s="26" t="s">
        <v>185</v>
      </c>
      <c r="S9" s="26" t="s">
        <v>87</v>
      </c>
      <c r="T9" s="26" t="s">
        <v>81</v>
      </c>
      <c r="U9" s="26" t="s">
        <v>128</v>
      </c>
      <c r="V9" s="26" t="s">
        <v>70</v>
      </c>
      <c r="W9" s="26" t="s">
        <v>70</v>
      </c>
      <c r="X9" s="26" t="s">
        <v>271</v>
      </c>
      <c r="Y9" s="26" t="s">
        <v>154</v>
      </c>
      <c r="Z9" s="26" t="s">
        <v>266</v>
      </c>
      <c r="AA9" s="126"/>
      <c r="AB9" s="26" t="s">
        <v>267</v>
      </c>
      <c r="AC9" s="26" t="s">
        <v>70</v>
      </c>
      <c r="AD9" s="26" t="s">
        <v>70</v>
      </c>
      <c r="AE9" s="95" t="s">
        <v>579</v>
      </c>
      <c r="AF9" s="95" t="s">
        <v>579</v>
      </c>
      <c r="AG9" s="95" t="s">
        <v>579</v>
      </c>
      <c r="AH9" s="95" t="s">
        <v>579</v>
      </c>
      <c r="AI9" s="26" t="s">
        <v>89</v>
      </c>
      <c r="AJ9" s="112"/>
      <c r="AK9" s="106"/>
      <c r="AL9" s="108"/>
      <c r="AM9" s="110"/>
      <c r="AN9" s="114"/>
      <c r="AO9" s="105"/>
    </row>
    <row r="10" spans="1:68" ht="21.75" customHeight="1" thickTop="1" thickBot="1" x14ac:dyDescent="0.45">
      <c r="A10" s="157"/>
      <c r="B10" s="118" t="s">
        <v>53</v>
      </c>
      <c r="C10" s="120" t="s">
        <v>243</v>
      </c>
      <c r="D10" s="25" t="s">
        <v>51</v>
      </c>
      <c r="E10" s="43" t="s">
        <v>580</v>
      </c>
      <c r="F10" s="26" t="s">
        <v>73</v>
      </c>
      <c r="G10" s="26" t="s">
        <v>124</v>
      </c>
      <c r="H10" s="26" t="s">
        <v>70</v>
      </c>
      <c r="I10" s="26" t="s">
        <v>70</v>
      </c>
      <c r="J10" s="26" t="s">
        <v>156</v>
      </c>
      <c r="K10" s="26" t="s">
        <v>207</v>
      </c>
      <c r="L10" s="26" t="s">
        <v>75</v>
      </c>
      <c r="M10" s="26" t="s">
        <v>78</v>
      </c>
      <c r="N10" s="26" t="s">
        <v>120</v>
      </c>
      <c r="O10" s="26" t="s">
        <v>70</v>
      </c>
      <c r="P10" s="26" t="s">
        <v>70</v>
      </c>
      <c r="Q10" s="26" t="s">
        <v>73</v>
      </c>
      <c r="R10" s="26" t="s">
        <v>69</v>
      </c>
      <c r="S10" s="26" t="s">
        <v>152</v>
      </c>
      <c r="T10" s="26" t="s">
        <v>120</v>
      </c>
      <c r="U10" s="26" t="s">
        <v>78</v>
      </c>
      <c r="V10" s="26" t="s">
        <v>70</v>
      </c>
      <c r="W10" s="26" t="s">
        <v>70</v>
      </c>
      <c r="X10" s="26" t="s">
        <v>215</v>
      </c>
      <c r="Y10" s="26" t="s">
        <v>68</v>
      </c>
      <c r="Z10" s="26" t="s">
        <v>99</v>
      </c>
      <c r="AA10" s="26" t="s">
        <v>78</v>
      </c>
      <c r="AB10" s="26" t="s">
        <v>75</v>
      </c>
      <c r="AC10" s="26" t="s">
        <v>70</v>
      </c>
      <c r="AD10" s="26" t="s">
        <v>70</v>
      </c>
      <c r="AE10" s="95" t="s">
        <v>579</v>
      </c>
      <c r="AF10" s="95" t="s">
        <v>579</v>
      </c>
      <c r="AG10" s="95" t="s">
        <v>579</v>
      </c>
      <c r="AH10" s="95" t="s">
        <v>579</v>
      </c>
      <c r="AI10" s="126" t="s">
        <v>176</v>
      </c>
      <c r="AJ10" s="107"/>
      <c r="AK10" s="112"/>
      <c r="AL10" s="107" t="s">
        <v>284</v>
      </c>
      <c r="AM10" s="102">
        <v>1</v>
      </c>
      <c r="AN10" s="113">
        <f>(F10+G10+J10+K10+L10+M10+N10+Q10+R10+S10+T10+U10+X10+Y10+Z10+AA10+AB10)/17</f>
        <v>0.36086601307189548</v>
      </c>
      <c r="AO10" s="104">
        <f>(F11+G11+J11+K11+L11+M11+N11+Q11+R11+S11+T11+U11+X11+Y11+AA11)/15</f>
        <v>0.81055555555555558</v>
      </c>
    </row>
    <row r="11" spans="1:68" ht="21.75" customHeight="1" thickTop="1" thickBot="1" x14ac:dyDescent="0.45">
      <c r="A11" s="157"/>
      <c r="B11" s="118"/>
      <c r="C11" s="120"/>
      <c r="D11" s="25" t="s">
        <v>52</v>
      </c>
      <c r="E11" s="43" t="s">
        <v>580</v>
      </c>
      <c r="F11" s="26" t="s">
        <v>128</v>
      </c>
      <c r="G11" s="26" t="s">
        <v>212</v>
      </c>
      <c r="H11" s="26" t="s">
        <v>70</v>
      </c>
      <c r="I11" s="26" t="s">
        <v>70</v>
      </c>
      <c r="J11" s="26" t="s">
        <v>172</v>
      </c>
      <c r="K11" s="26" t="s">
        <v>81</v>
      </c>
      <c r="L11" s="26" t="s">
        <v>147</v>
      </c>
      <c r="M11" s="26" t="s">
        <v>112</v>
      </c>
      <c r="N11" s="26" t="s">
        <v>147</v>
      </c>
      <c r="O11" s="26" t="s">
        <v>70</v>
      </c>
      <c r="P11" s="26" t="s">
        <v>70</v>
      </c>
      <c r="Q11" s="26" t="s">
        <v>115</v>
      </c>
      <c r="R11" s="26" t="s">
        <v>82</v>
      </c>
      <c r="S11" s="26" t="s">
        <v>87</v>
      </c>
      <c r="T11" s="26" t="s">
        <v>169</v>
      </c>
      <c r="U11" s="26" t="s">
        <v>128</v>
      </c>
      <c r="V11" s="26" t="s">
        <v>70</v>
      </c>
      <c r="W11" s="26" t="s">
        <v>70</v>
      </c>
      <c r="X11" s="26" t="s">
        <v>271</v>
      </c>
      <c r="Y11" s="26" t="s">
        <v>154</v>
      </c>
      <c r="Z11" s="26" t="s">
        <v>229</v>
      </c>
      <c r="AA11" s="26" t="s">
        <v>80</v>
      </c>
      <c r="AB11" s="26" t="s">
        <v>274</v>
      </c>
      <c r="AC11" s="26" t="s">
        <v>70</v>
      </c>
      <c r="AD11" s="26" t="s">
        <v>70</v>
      </c>
      <c r="AE11" s="95" t="s">
        <v>579</v>
      </c>
      <c r="AF11" s="95" t="s">
        <v>579</v>
      </c>
      <c r="AG11" s="95" t="s">
        <v>579</v>
      </c>
      <c r="AH11" s="95" t="s">
        <v>579</v>
      </c>
      <c r="AI11" s="126"/>
      <c r="AJ11" s="108"/>
      <c r="AK11" s="112"/>
      <c r="AL11" s="108"/>
      <c r="AM11" s="103"/>
      <c r="AN11" s="114"/>
      <c r="AO11" s="105"/>
    </row>
    <row r="12" spans="1:68" ht="21.75" customHeight="1" thickTop="1" thickBot="1" x14ac:dyDescent="0.45">
      <c r="A12" s="157"/>
      <c r="B12" s="118" t="s">
        <v>53</v>
      </c>
      <c r="C12" s="120" t="s">
        <v>244</v>
      </c>
      <c r="D12" s="25" t="s">
        <v>51</v>
      </c>
      <c r="E12" s="43" t="s">
        <v>580</v>
      </c>
      <c r="F12" s="26" t="s">
        <v>79</v>
      </c>
      <c r="G12" s="29" t="s">
        <v>276</v>
      </c>
      <c r="H12" s="26" t="s">
        <v>70</v>
      </c>
      <c r="I12" s="26" t="s">
        <v>70</v>
      </c>
      <c r="J12" s="26" t="s">
        <v>160</v>
      </c>
      <c r="K12" s="26" t="s">
        <v>68</v>
      </c>
      <c r="L12" s="26" t="s">
        <v>79</v>
      </c>
      <c r="M12" s="26" t="s">
        <v>68</v>
      </c>
      <c r="N12" s="26" t="s">
        <v>79</v>
      </c>
      <c r="O12" s="26" t="s">
        <v>70</v>
      </c>
      <c r="P12" s="26" t="s">
        <v>70</v>
      </c>
      <c r="Q12" s="26" t="s">
        <v>79</v>
      </c>
      <c r="R12" s="26" t="s">
        <v>161</v>
      </c>
      <c r="S12" s="26" t="s">
        <v>78</v>
      </c>
      <c r="T12" s="26" t="s">
        <v>79</v>
      </c>
      <c r="U12" s="26" t="s">
        <v>78</v>
      </c>
      <c r="V12" s="26" t="s">
        <v>70</v>
      </c>
      <c r="W12" s="26" t="s">
        <v>70</v>
      </c>
      <c r="X12" s="46" t="s">
        <v>232</v>
      </c>
      <c r="Y12" s="29" t="s">
        <v>163</v>
      </c>
      <c r="Z12" s="26" t="s">
        <v>179</v>
      </c>
      <c r="AA12" s="26" t="s">
        <v>79</v>
      </c>
      <c r="AB12" s="26" t="s">
        <v>79</v>
      </c>
      <c r="AC12" s="26" t="s">
        <v>70</v>
      </c>
      <c r="AD12" s="26" t="s">
        <v>70</v>
      </c>
      <c r="AE12" s="95" t="s">
        <v>579</v>
      </c>
      <c r="AF12" s="95" t="s">
        <v>579</v>
      </c>
      <c r="AG12" s="95" t="s">
        <v>579</v>
      </c>
      <c r="AH12" s="95" t="s">
        <v>579</v>
      </c>
      <c r="AI12" s="26" t="s">
        <v>68</v>
      </c>
      <c r="AJ12" s="112"/>
      <c r="AK12" s="106" t="s">
        <v>285</v>
      </c>
      <c r="AL12" s="107" t="s">
        <v>285</v>
      </c>
      <c r="AM12" s="109"/>
      <c r="AN12" s="111">
        <f>(F12+G12+J12+K12+L12+M12+N12+Q12+R12+S12+T12+U12+X12+Y12+Z12+AA12+AB12+AI12)/18</f>
        <v>0.36890432098765435</v>
      </c>
      <c r="AO12" s="104">
        <f>(F13+G13+J13+K13+L13+M13+N13+Q13+R13+S13+T13+U13+X13+Y13+AA13+AB13+AI13)/17</f>
        <v>0.80408496732026136</v>
      </c>
    </row>
    <row r="13" spans="1:68" ht="21.75" customHeight="1" thickTop="1" thickBot="1" x14ac:dyDescent="0.45">
      <c r="A13" s="157"/>
      <c r="B13" s="118"/>
      <c r="C13" s="120"/>
      <c r="D13" s="25" t="s">
        <v>52</v>
      </c>
      <c r="E13" s="43" t="s">
        <v>580</v>
      </c>
      <c r="F13" s="26" t="s">
        <v>91</v>
      </c>
      <c r="G13" s="26" t="s">
        <v>165</v>
      </c>
      <c r="H13" s="26" t="s">
        <v>70</v>
      </c>
      <c r="I13" s="26" t="s">
        <v>70</v>
      </c>
      <c r="J13" s="26" t="s">
        <v>147</v>
      </c>
      <c r="K13" s="26" t="s">
        <v>141</v>
      </c>
      <c r="L13" s="26" t="s">
        <v>129</v>
      </c>
      <c r="M13" s="26" t="s">
        <v>101</v>
      </c>
      <c r="N13" s="26" t="s">
        <v>101</v>
      </c>
      <c r="O13" s="26" t="s">
        <v>70</v>
      </c>
      <c r="P13" s="26" t="s">
        <v>70</v>
      </c>
      <c r="Q13" s="26" t="s">
        <v>201</v>
      </c>
      <c r="R13" s="26" t="s">
        <v>185</v>
      </c>
      <c r="S13" s="26" t="s">
        <v>101</v>
      </c>
      <c r="T13" s="26" t="s">
        <v>101</v>
      </c>
      <c r="U13" s="26" t="s">
        <v>147</v>
      </c>
      <c r="V13" s="26" t="s">
        <v>70</v>
      </c>
      <c r="W13" s="26" t="s">
        <v>70</v>
      </c>
      <c r="X13" s="26" t="s">
        <v>201</v>
      </c>
      <c r="Y13" s="26" t="s">
        <v>132</v>
      </c>
      <c r="Z13" s="26" t="s">
        <v>277</v>
      </c>
      <c r="AA13" s="26" t="s">
        <v>116</v>
      </c>
      <c r="AB13" s="26" t="s">
        <v>256</v>
      </c>
      <c r="AC13" s="26" t="s">
        <v>70</v>
      </c>
      <c r="AD13" s="26" t="s">
        <v>70</v>
      </c>
      <c r="AE13" s="95" t="s">
        <v>579</v>
      </c>
      <c r="AF13" s="95" t="s">
        <v>579</v>
      </c>
      <c r="AG13" s="95" t="s">
        <v>579</v>
      </c>
      <c r="AH13" s="95" t="s">
        <v>579</v>
      </c>
      <c r="AI13" s="26" t="s">
        <v>103</v>
      </c>
      <c r="AJ13" s="112"/>
      <c r="AK13" s="106"/>
      <c r="AL13" s="108"/>
      <c r="AM13" s="110"/>
      <c r="AN13" s="111"/>
      <c r="AO13" s="105"/>
    </row>
    <row r="14" spans="1:68" ht="21.75" customHeight="1" thickTop="1" thickBot="1" x14ac:dyDescent="0.45">
      <c r="A14" s="157"/>
      <c r="B14" s="118" t="s">
        <v>56</v>
      </c>
      <c r="C14" s="120" t="s">
        <v>272</v>
      </c>
      <c r="D14" s="25" t="s">
        <v>51</v>
      </c>
      <c r="E14" s="43" t="s">
        <v>580</v>
      </c>
      <c r="F14" s="26" t="s">
        <v>77</v>
      </c>
      <c r="G14" s="26" t="s">
        <v>193</v>
      </c>
      <c r="H14" s="26" t="s">
        <v>70</v>
      </c>
      <c r="I14" s="26" t="s">
        <v>70</v>
      </c>
      <c r="J14" s="26" t="s">
        <v>174</v>
      </c>
      <c r="K14" s="26" t="s">
        <v>215</v>
      </c>
      <c r="L14" s="26" t="s">
        <v>106</v>
      </c>
      <c r="M14" s="26" t="s">
        <v>206</v>
      </c>
      <c r="N14" s="26" t="s">
        <v>124</v>
      </c>
      <c r="O14" s="26" t="s">
        <v>70</v>
      </c>
      <c r="P14" s="26" t="s">
        <v>70</v>
      </c>
      <c r="Q14" s="26" t="s">
        <v>193</v>
      </c>
      <c r="R14" s="26" t="s">
        <v>206</v>
      </c>
      <c r="S14" s="26" t="s">
        <v>215</v>
      </c>
      <c r="T14" s="26" t="s">
        <v>193</v>
      </c>
      <c r="U14" s="26" t="s">
        <v>77</v>
      </c>
      <c r="V14" s="26"/>
      <c r="W14" s="26" t="s">
        <v>70</v>
      </c>
      <c r="X14" s="26" t="s">
        <v>106</v>
      </c>
      <c r="Y14" s="26" t="s">
        <v>143</v>
      </c>
      <c r="Z14" s="26" t="s">
        <v>139</v>
      </c>
      <c r="AA14" s="26" t="s">
        <v>193</v>
      </c>
      <c r="AB14" s="26" t="s">
        <v>193</v>
      </c>
      <c r="AC14" s="26" t="s">
        <v>70</v>
      </c>
      <c r="AD14" s="26" t="s">
        <v>70</v>
      </c>
      <c r="AE14" s="95" t="s">
        <v>579</v>
      </c>
      <c r="AF14" s="95" t="s">
        <v>579</v>
      </c>
      <c r="AG14" s="95" t="s">
        <v>579</v>
      </c>
      <c r="AH14" s="95" t="s">
        <v>579</v>
      </c>
      <c r="AI14" s="26" t="s">
        <v>124</v>
      </c>
      <c r="AJ14" s="112"/>
      <c r="AK14" s="106"/>
      <c r="AL14" s="107"/>
      <c r="AM14" s="102"/>
      <c r="AN14" s="111">
        <f>(F14+G14+J14+K14+L14+M14+N14+Q14+R14+S14+T14+U14+X14+Y14+Z14+AA14+AB14+AI14)/18</f>
        <v>0.34625771604938271</v>
      </c>
      <c r="AO14" s="104">
        <f>(F15+G15+J15+K15+L15+M15+N15+Q15+R15+S15+T15+U15+X15+Y15+AA15+AI222+AI15)/16</f>
        <v>0.78502604166666656</v>
      </c>
    </row>
    <row r="15" spans="1:68" ht="21.75" customHeight="1" thickTop="1" thickBot="1" x14ac:dyDescent="0.45">
      <c r="A15" s="158"/>
      <c r="B15" s="118"/>
      <c r="C15" s="120"/>
      <c r="D15" s="25" t="s">
        <v>52</v>
      </c>
      <c r="E15" s="43" t="s">
        <v>580</v>
      </c>
      <c r="F15" s="26" t="s">
        <v>102</v>
      </c>
      <c r="G15" s="26" t="s">
        <v>91</v>
      </c>
      <c r="H15" s="26" t="s">
        <v>70</v>
      </c>
      <c r="I15" s="26" t="s">
        <v>70</v>
      </c>
      <c r="J15" s="26" t="s">
        <v>185</v>
      </c>
      <c r="K15" s="26" t="s">
        <v>91</v>
      </c>
      <c r="L15" s="26" t="s">
        <v>87</v>
      </c>
      <c r="M15" s="26" t="s">
        <v>82</v>
      </c>
      <c r="N15" s="26" t="s">
        <v>123</v>
      </c>
      <c r="O15" s="26" t="s">
        <v>70</v>
      </c>
      <c r="P15" s="26" t="s">
        <v>70</v>
      </c>
      <c r="Q15" s="26" t="s">
        <v>87</v>
      </c>
      <c r="R15" s="26" t="s">
        <v>154</v>
      </c>
      <c r="S15" s="26" t="s">
        <v>123</v>
      </c>
      <c r="T15" s="26" t="s">
        <v>87</v>
      </c>
      <c r="U15" s="26" t="s">
        <v>165</v>
      </c>
      <c r="V15" s="26"/>
      <c r="W15" s="26" t="s">
        <v>70</v>
      </c>
      <c r="X15" s="26" t="s">
        <v>141</v>
      </c>
      <c r="Y15" s="26" t="s">
        <v>84</v>
      </c>
      <c r="Z15" s="26" t="s">
        <v>104</v>
      </c>
      <c r="AA15" s="26" t="s">
        <v>88</v>
      </c>
      <c r="AB15" s="26" t="s">
        <v>267</v>
      </c>
      <c r="AC15" s="26" t="s">
        <v>70</v>
      </c>
      <c r="AD15" s="26" t="s">
        <v>70</v>
      </c>
      <c r="AE15" s="95" t="s">
        <v>579</v>
      </c>
      <c r="AF15" s="95" t="s">
        <v>579</v>
      </c>
      <c r="AG15" s="95" t="s">
        <v>579</v>
      </c>
      <c r="AH15" s="95" t="s">
        <v>579</v>
      </c>
      <c r="AI15" s="26" t="s">
        <v>186</v>
      </c>
      <c r="AJ15" s="112"/>
      <c r="AK15" s="106"/>
      <c r="AL15" s="108"/>
      <c r="AM15" s="103"/>
      <c r="AN15" s="111"/>
      <c r="AO15" s="105"/>
    </row>
    <row r="16" spans="1:68" ht="21.75" customHeight="1" x14ac:dyDescent="0.4">
      <c r="A16" s="30"/>
      <c r="B16" s="143" t="s">
        <v>56</v>
      </c>
      <c r="C16" s="120" t="s">
        <v>57</v>
      </c>
      <c r="D16" s="25" t="s">
        <v>51</v>
      </c>
      <c r="E16" s="43" t="s">
        <v>580</v>
      </c>
      <c r="F16" s="26" t="s">
        <v>135</v>
      </c>
      <c r="G16" s="26" t="s">
        <v>135</v>
      </c>
      <c r="H16" s="26" t="s">
        <v>70</v>
      </c>
      <c r="I16" s="26" t="s">
        <v>70</v>
      </c>
      <c r="J16" s="26" t="s">
        <v>68</v>
      </c>
      <c r="K16" s="26" t="s">
        <v>135</v>
      </c>
      <c r="L16" s="26" t="s">
        <v>135</v>
      </c>
      <c r="M16" s="26" t="s">
        <v>79</v>
      </c>
      <c r="N16" s="26" t="s">
        <v>156</v>
      </c>
      <c r="O16" s="26" t="s">
        <v>70</v>
      </c>
      <c r="P16" s="26" t="s">
        <v>70</v>
      </c>
      <c r="Q16" s="26" t="s">
        <v>79</v>
      </c>
      <c r="R16" s="26" t="s">
        <v>79</v>
      </c>
      <c r="S16" s="26" t="s">
        <v>79</v>
      </c>
      <c r="T16" s="26" t="s">
        <v>135</v>
      </c>
      <c r="U16" s="26" t="s">
        <v>135</v>
      </c>
      <c r="V16" s="26" t="s">
        <v>70</v>
      </c>
      <c r="W16" s="26" t="s">
        <v>70</v>
      </c>
      <c r="X16" s="26" t="s">
        <v>121</v>
      </c>
      <c r="Y16" s="26" t="s">
        <v>156</v>
      </c>
      <c r="Z16" s="26" t="s">
        <v>160</v>
      </c>
      <c r="AA16" s="26" t="s">
        <v>156</v>
      </c>
      <c r="AB16" s="26" t="s">
        <v>135</v>
      </c>
      <c r="AC16" s="26" t="s">
        <v>70</v>
      </c>
      <c r="AD16" s="26" t="s">
        <v>70</v>
      </c>
      <c r="AE16" s="95" t="s">
        <v>579</v>
      </c>
      <c r="AF16" s="95" t="s">
        <v>579</v>
      </c>
      <c r="AG16" s="95" t="s">
        <v>579</v>
      </c>
      <c r="AH16" s="95" t="s">
        <v>579</v>
      </c>
      <c r="AI16" s="26" t="s">
        <v>71</v>
      </c>
      <c r="AJ16" s="107"/>
      <c r="AK16" s="166"/>
      <c r="AL16" s="107"/>
      <c r="AM16" s="102"/>
      <c r="AN16" s="174">
        <f>(F16+G16+J16+K16+L16+M16+N16+Q16+R16+S16+T16+U16+X16+Y16+Z16+AA16+AB16+AI16)/18</f>
        <v>0.37029320987654318</v>
      </c>
      <c r="AO16" s="104">
        <f>(F17+G17+J17+K17+L17+M17+N17+Q17+R17+S17+T17+U17+X17+Y17+AA17+AI17)/16</f>
        <v>0.78350694444444446</v>
      </c>
    </row>
    <row r="17" spans="1:41" ht="21.75" customHeight="1" thickBot="1" x14ac:dyDescent="0.45">
      <c r="A17" s="30"/>
      <c r="B17" s="119"/>
      <c r="C17" s="121"/>
      <c r="D17" s="31" t="s">
        <v>52</v>
      </c>
      <c r="E17" s="43" t="s">
        <v>580</v>
      </c>
      <c r="F17" s="32" t="s">
        <v>102</v>
      </c>
      <c r="G17" s="32" t="s">
        <v>102</v>
      </c>
      <c r="H17" s="32" t="s">
        <v>70</v>
      </c>
      <c r="I17" s="32" t="s">
        <v>70</v>
      </c>
      <c r="J17" s="32" t="s">
        <v>185</v>
      </c>
      <c r="K17" s="32" t="s">
        <v>91</v>
      </c>
      <c r="L17" s="32" t="s">
        <v>87</v>
      </c>
      <c r="M17" s="32" t="s">
        <v>82</v>
      </c>
      <c r="N17" s="32" t="s">
        <v>123</v>
      </c>
      <c r="O17" s="32" t="s">
        <v>70</v>
      </c>
      <c r="P17" s="32" t="s">
        <v>70</v>
      </c>
      <c r="Q17" s="32" t="s">
        <v>169</v>
      </c>
      <c r="R17" s="32" t="s">
        <v>154</v>
      </c>
      <c r="S17" s="32" t="s">
        <v>123</v>
      </c>
      <c r="T17" s="32" t="s">
        <v>169</v>
      </c>
      <c r="U17" s="32" t="s">
        <v>165</v>
      </c>
      <c r="V17" s="32" t="s">
        <v>70</v>
      </c>
      <c r="W17" s="32" t="s">
        <v>70</v>
      </c>
      <c r="X17" s="32" t="s">
        <v>141</v>
      </c>
      <c r="Y17" s="32" t="s">
        <v>84</v>
      </c>
      <c r="Z17" s="32" t="s">
        <v>104</v>
      </c>
      <c r="AA17" s="32" t="s">
        <v>80</v>
      </c>
      <c r="AB17" s="32" t="s">
        <v>267</v>
      </c>
      <c r="AC17" s="32" t="s">
        <v>70</v>
      </c>
      <c r="AD17" s="32" t="s">
        <v>70</v>
      </c>
      <c r="AE17" s="95" t="s">
        <v>579</v>
      </c>
      <c r="AF17" s="95" t="s">
        <v>579</v>
      </c>
      <c r="AG17" s="95" t="s">
        <v>579</v>
      </c>
      <c r="AH17" s="95" t="s">
        <v>579</v>
      </c>
      <c r="AI17" s="32" t="s">
        <v>123</v>
      </c>
      <c r="AJ17" s="144"/>
      <c r="AK17" s="167"/>
      <c r="AL17" s="144"/>
      <c r="AM17" s="168"/>
      <c r="AN17" s="171"/>
      <c r="AO17" s="129"/>
    </row>
    <row r="18" spans="1:41" ht="21.75" customHeight="1" x14ac:dyDescent="0.4">
      <c r="A18" s="115" t="s">
        <v>58</v>
      </c>
      <c r="B18" s="143" t="s">
        <v>59</v>
      </c>
      <c r="C18" s="159" t="s">
        <v>60</v>
      </c>
      <c r="D18" s="33" t="s">
        <v>51</v>
      </c>
      <c r="E18" s="43" t="s">
        <v>580</v>
      </c>
      <c r="F18" s="34" t="s">
        <v>221</v>
      </c>
      <c r="G18" s="34" t="s">
        <v>108</v>
      </c>
      <c r="H18" s="34" t="s">
        <v>70</v>
      </c>
      <c r="I18" s="34" t="s">
        <v>70</v>
      </c>
      <c r="J18" s="34" t="s">
        <v>111</v>
      </c>
      <c r="K18" s="34" t="s">
        <v>233</v>
      </c>
      <c r="L18" s="34" t="s">
        <v>125</v>
      </c>
      <c r="M18" s="34" t="s">
        <v>197</v>
      </c>
      <c r="N18" s="34" t="s">
        <v>140</v>
      </c>
      <c r="O18" s="34" t="s">
        <v>70</v>
      </c>
      <c r="P18" s="34" t="s">
        <v>70</v>
      </c>
      <c r="Q18" s="34" t="s">
        <v>213</v>
      </c>
      <c r="R18" s="34" t="s">
        <v>223</v>
      </c>
      <c r="S18" s="34" t="s">
        <v>197</v>
      </c>
      <c r="T18" s="34" t="s">
        <v>187</v>
      </c>
      <c r="U18" s="34" t="s">
        <v>187</v>
      </c>
      <c r="V18" s="34" t="s">
        <v>70</v>
      </c>
      <c r="W18" s="34" t="s">
        <v>70</v>
      </c>
      <c r="X18" s="34" t="s">
        <v>257</v>
      </c>
      <c r="Y18" s="34" t="s">
        <v>138</v>
      </c>
      <c r="Z18" s="34" t="s">
        <v>125</v>
      </c>
      <c r="AA18" s="34" t="s">
        <v>135</v>
      </c>
      <c r="AB18" s="34" t="s">
        <v>138</v>
      </c>
      <c r="AC18" s="34" t="s">
        <v>70</v>
      </c>
      <c r="AD18" s="34" t="s">
        <v>70</v>
      </c>
      <c r="AE18" s="95" t="s">
        <v>579</v>
      </c>
      <c r="AF18" s="95" t="s">
        <v>579</v>
      </c>
      <c r="AG18" s="95" t="s">
        <v>579</v>
      </c>
      <c r="AH18" s="95" t="s">
        <v>579</v>
      </c>
      <c r="AI18" s="34" t="s">
        <v>180</v>
      </c>
      <c r="AJ18" s="160" t="s">
        <v>283</v>
      </c>
      <c r="AK18" s="166"/>
      <c r="AL18" s="163" t="s">
        <v>282</v>
      </c>
      <c r="AM18" s="109"/>
      <c r="AN18" s="174">
        <f>(F18+G18+J18+K18+L18+M18+N18+Q18+R18+S18+T18+U18+X18+Y18+Z18+AA18+AB18+AI18)/18</f>
        <v>0.32689043209876545</v>
      </c>
      <c r="AO18" s="104">
        <f>(F19+G19+J19+K19+L19+M19+N19+Q19+R19+S19+T19+U19+X19+Y19+AA19+AI19)/16</f>
        <v>0.80217013888888888</v>
      </c>
    </row>
    <row r="19" spans="1:41" ht="21.75" customHeight="1" thickBot="1" x14ac:dyDescent="0.45">
      <c r="A19" s="116"/>
      <c r="B19" s="118"/>
      <c r="C19" s="120"/>
      <c r="D19" s="25" t="s">
        <v>52</v>
      </c>
      <c r="E19" s="43" t="s">
        <v>580</v>
      </c>
      <c r="F19" s="26" t="s">
        <v>157</v>
      </c>
      <c r="G19" s="26" t="s">
        <v>191</v>
      </c>
      <c r="H19" s="26" t="s">
        <v>70</v>
      </c>
      <c r="I19" s="26" t="s">
        <v>70</v>
      </c>
      <c r="J19" s="26" t="s">
        <v>214</v>
      </c>
      <c r="K19" s="26" t="s">
        <v>188</v>
      </c>
      <c r="L19" s="26" t="s">
        <v>114</v>
      </c>
      <c r="M19" s="26" t="s">
        <v>102</v>
      </c>
      <c r="N19" s="26" t="s">
        <v>126</v>
      </c>
      <c r="O19" s="26" t="s">
        <v>70</v>
      </c>
      <c r="P19" s="26" t="s">
        <v>70</v>
      </c>
      <c r="Q19" s="26" t="s">
        <v>186</v>
      </c>
      <c r="R19" s="26" t="s">
        <v>158</v>
      </c>
      <c r="S19" s="26" t="s">
        <v>191</v>
      </c>
      <c r="T19" s="26" t="s">
        <v>98</v>
      </c>
      <c r="U19" s="26" t="s">
        <v>102</v>
      </c>
      <c r="V19" s="26" t="s">
        <v>70</v>
      </c>
      <c r="W19" s="26" t="s">
        <v>70</v>
      </c>
      <c r="X19" s="26" t="s">
        <v>127</v>
      </c>
      <c r="Y19" s="26" t="s">
        <v>185</v>
      </c>
      <c r="Z19" s="26" t="s">
        <v>245</v>
      </c>
      <c r="AA19" s="26" t="s">
        <v>165</v>
      </c>
      <c r="AB19" s="26" t="s">
        <v>217</v>
      </c>
      <c r="AC19" s="26" t="s">
        <v>70</v>
      </c>
      <c r="AD19" s="26" t="s">
        <v>70</v>
      </c>
      <c r="AE19" s="95" t="s">
        <v>579</v>
      </c>
      <c r="AF19" s="95" t="s">
        <v>579</v>
      </c>
      <c r="AG19" s="95" t="s">
        <v>579</v>
      </c>
      <c r="AH19" s="95" t="s">
        <v>579</v>
      </c>
      <c r="AI19" s="26" t="s">
        <v>117</v>
      </c>
      <c r="AJ19" s="127"/>
      <c r="AK19" s="106"/>
      <c r="AL19" s="108"/>
      <c r="AM19" s="110"/>
      <c r="AN19" s="171"/>
      <c r="AO19" s="105"/>
    </row>
    <row r="20" spans="1:41" ht="21.75" customHeight="1" x14ac:dyDescent="0.4">
      <c r="A20" s="116"/>
      <c r="B20" s="118" t="s">
        <v>53</v>
      </c>
      <c r="C20" s="120" t="s">
        <v>61</v>
      </c>
      <c r="D20" s="25" t="s">
        <v>51</v>
      </c>
      <c r="E20" s="43" t="s">
        <v>580</v>
      </c>
      <c r="F20" s="26" t="s">
        <v>142</v>
      </c>
      <c r="G20" s="26" t="s">
        <v>120</v>
      </c>
      <c r="H20" s="26" t="s">
        <v>70</v>
      </c>
      <c r="I20" s="26" t="s">
        <v>70</v>
      </c>
      <c r="J20" s="26" t="s">
        <v>136</v>
      </c>
      <c r="K20" s="26" t="s">
        <v>110</v>
      </c>
      <c r="L20" s="26" t="s">
        <v>134</v>
      </c>
      <c r="M20" s="26" t="s">
        <v>69</v>
      </c>
      <c r="N20" s="26" t="s">
        <v>73</v>
      </c>
      <c r="O20" s="26" t="s">
        <v>70</v>
      </c>
      <c r="P20" s="26" t="s">
        <v>70</v>
      </c>
      <c r="Q20" s="26" t="s">
        <v>137</v>
      </c>
      <c r="R20" s="26" t="s">
        <v>93</v>
      </c>
      <c r="S20" s="26" t="s">
        <v>68</v>
      </c>
      <c r="T20" s="26" t="s">
        <v>76</v>
      </c>
      <c r="U20" s="26" t="s">
        <v>74</v>
      </c>
      <c r="V20" s="26" t="s">
        <v>70</v>
      </c>
      <c r="W20" s="26" t="s">
        <v>70</v>
      </c>
      <c r="X20" s="26" t="s">
        <v>110</v>
      </c>
      <c r="Y20" s="26" t="s">
        <v>119</v>
      </c>
      <c r="Z20" s="26" t="s">
        <v>119</v>
      </c>
      <c r="AA20" s="29" t="s">
        <v>259</v>
      </c>
      <c r="AB20" s="26" t="s">
        <v>95</v>
      </c>
      <c r="AC20" s="26" t="s">
        <v>70</v>
      </c>
      <c r="AD20" s="26" t="s">
        <v>70</v>
      </c>
      <c r="AE20" s="95" t="s">
        <v>579</v>
      </c>
      <c r="AF20" s="95" t="s">
        <v>579</v>
      </c>
      <c r="AG20" s="95" t="s">
        <v>579</v>
      </c>
      <c r="AH20" s="95" t="s">
        <v>579</v>
      </c>
      <c r="AI20" s="26" t="s">
        <v>109</v>
      </c>
      <c r="AJ20" s="127"/>
      <c r="AK20" s="106" t="s">
        <v>282</v>
      </c>
      <c r="AL20" s="107"/>
      <c r="AM20" s="109">
        <v>0.5</v>
      </c>
      <c r="AN20" s="113">
        <f>(F20+G20+J20+K20+L20+M20+N20+Q20+R20+S20+T20+U20+X20+Y20+Z20+AA20+AB20+AI20)/18</f>
        <v>0.35979938271604939</v>
      </c>
      <c r="AO20" s="128">
        <f>(F21+G21+J21+K21+L21+M21+N21+Q21+S21+T21+U21+X21+Y21+AA21+AI21)/15</f>
        <v>0.77763888888888888</v>
      </c>
    </row>
    <row r="21" spans="1:41" ht="21.75" customHeight="1" x14ac:dyDescent="0.4">
      <c r="A21" s="116"/>
      <c r="B21" s="118"/>
      <c r="C21" s="120"/>
      <c r="D21" s="25" t="s">
        <v>52</v>
      </c>
      <c r="E21" s="43" t="s">
        <v>580</v>
      </c>
      <c r="F21" s="26" t="s">
        <v>165</v>
      </c>
      <c r="G21" s="26" t="s">
        <v>80</v>
      </c>
      <c r="H21" s="26" t="s">
        <v>70</v>
      </c>
      <c r="I21" s="26" t="s">
        <v>70</v>
      </c>
      <c r="J21" s="26" t="s">
        <v>103</v>
      </c>
      <c r="K21" s="26" t="s">
        <v>80</v>
      </c>
      <c r="L21" s="26" t="s">
        <v>117</v>
      </c>
      <c r="M21" s="26" t="s">
        <v>101</v>
      </c>
      <c r="N21" s="26" t="s">
        <v>88</v>
      </c>
      <c r="O21" s="26" t="s">
        <v>70</v>
      </c>
      <c r="P21" s="26" t="s">
        <v>70</v>
      </c>
      <c r="Q21" s="26" t="s">
        <v>83</v>
      </c>
      <c r="R21" s="41" t="s">
        <v>279</v>
      </c>
      <c r="S21" s="26" t="s">
        <v>101</v>
      </c>
      <c r="T21" s="26" t="s">
        <v>92</v>
      </c>
      <c r="U21" s="26" t="s">
        <v>91</v>
      </c>
      <c r="V21" s="26" t="s">
        <v>70</v>
      </c>
      <c r="W21" s="26" t="s">
        <v>70</v>
      </c>
      <c r="X21" s="26" t="s">
        <v>84</v>
      </c>
      <c r="Y21" s="26" t="s">
        <v>89</v>
      </c>
      <c r="Z21" s="26" t="s">
        <v>218</v>
      </c>
      <c r="AA21" s="26" t="s">
        <v>88</v>
      </c>
      <c r="AB21" s="26" t="s">
        <v>217</v>
      </c>
      <c r="AC21" s="26" t="s">
        <v>70</v>
      </c>
      <c r="AD21" s="26" t="s">
        <v>70</v>
      </c>
      <c r="AE21" s="95" t="s">
        <v>579</v>
      </c>
      <c r="AF21" s="95" t="s">
        <v>579</v>
      </c>
      <c r="AG21" s="95" t="s">
        <v>579</v>
      </c>
      <c r="AH21" s="95" t="s">
        <v>579</v>
      </c>
      <c r="AI21" s="26" t="s">
        <v>80</v>
      </c>
      <c r="AJ21" s="127"/>
      <c r="AK21" s="106"/>
      <c r="AL21" s="108"/>
      <c r="AM21" s="110"/>
      <c r="AN21" s="114"/>
      <c r="AO21" s="105"/>
    </row>
    <row r="22" spans="1:41" ht="22.5" customHeight="1" x14ac:dyDescent="0.4">
      <c r="A22" s="116"/>
      <c r="B22" s="118" t="s">
        <v>56</v>
      </c>
      <c r="C22" s="120" t="s">
        <v>32</v>
      </c>
      <c r="D22" s="25" t="s">
        <v>51</v>
      </c>
      <c r="E22" s="43" t="s">
        <v>580</v>
      </c>
      <c r="F22" s="26" t="s">
        <v>69</v>
      </c>
      <c r="G22" s="26" t="s">
        <v>121</v>
      </c>
      <c r="H22" s="26" t="s">
        <v>70</v>
      </c>
      <c r="I22" s="26" t="s">
        <v>70</v>
      </c>
      <c r="J22" s="26" t="s">
        <v>120</v>
      </c>
      <c r="K22" s="26" t="s">
        <v>121</v>
      </c>
      <c r="L22" s="26" t="s">
        <v>69</v>
      </c>
      <c r="M22" s="26" t="s">
        <v>152</v>
      </c>
      <c r="N22" s="26" t="s">
        <v>69</v>
      </c>
      <c r="O22" s="26" t="s">
        <v>70</v>
      </c>
      <c r="P22" s="26" t="s">
        <v>70</v>
      </c>
      <c r="Q22" s="26" t="s">
        <v>120</v>
      </c>
      <c r="R22" s="26" t="s">
        <v>152</v>
      </c>
      <c r="S22" s="26" t="s">
        <v>152</v>
      </c>
      <c r="T22" s="26" t="s">
        <v>72</v>
      </c>
      <c r="U22" s="26" t="s">
        <v>68</v>
      </c>
      <c r="V22" s="26" t="s">
        <v>70</v>
      </c>
      <c r="W22" s="26" t="s">
        <v>70</v>
      </c>
      <c r="X22" s="26" t="s">
        <v>68</v>
      </c>
      <c r="Y22" s="26" t="s">
        <v>75</v>
      </c>
      <c r="Z22" s="26" t="s">
        <v>69</v>
      </c>
      <c r="AA22" s="26" t="s">
        <v>120</v>
      </c>
      <c r="AB22" s="26" t="s">
        <v>68</v>
      </c>
      <c r="AC22" s="26" t="s">
        <v>70</v>
      </c>
      <c r="AD22" s="26" t="s">
        <v>70</v>
      </c>
      <c r="AE22" s="95" t="s">
        <v>579</v>
      </c>
      <c r="AF22" s="95" t="s">
        <v>579</v>
      </c>
      <c r="AG22" s="95" t="s">
        <v>579</v>
      </c>
      <c r="AH22" s="95" t="s">
        <v>579</v>
      </c>
      <c r="AI22" s="26" t="s">
        <v>73</v>
      </c>
      <c r="AJ22" s="112"/>
      <c r="AK22" s="106"/>
      <c r="AL22" s="107"/>
      <c r="AM22" s="109"/>
      <c r="AN22" s="113">
        <f>(F22+G22+J22+K22+L22+M22+N22+Q22+R22+S22+T22+U22+X22+Y22+Z22+AA22+AB22+AI22)/18</f>
        <v>0.36655092592592592</v>
      </c>
      <c r="AO22" s="104">
        <f>(F23+G23+J23+K23+L23+M23+N23+Q23+R23+S23+T23+U23+X23+Y23+AA23+AI230+AI23)/16</f>
        <v>0.77456597222222212</v>
      </c>
    </row>
    <row r="23" spans="1:41" ht="21.75" customHeight="1" x14ac:dyDescent="0.4">
      <c r="A23" s="116"/>
      <c r="B23" s="118"/>
      <c r="C23" s="120"/>
      <c r="D23" s="25" t="s">
        <v>52</v>
      </c>
      <c r="E23" s="43" t="s">
        <v>580</v>
      </c>
      <c r="F23" s="26" t="s">
        <v>91</v>
      </c>
      <c r="G23" s="26" t="s">
        <v>89</v>
      </c>
      <c r="H23" s="26" t="s">
        <v>70</v>
      </c>
      <c r="I23" s="26" t="s">
        <v>70</v>
      </c>
      <c r="J23" s="26" t="s">
        <v>123</v>
      </c>
      <c r="K23" s="26" t="s">
        <v>91</v>
      </c>
      <c r="L23" s="26" t="s">
        <v>91</v>
      </c>
      <c r="M23" s="26" t="s">
        <v>102</v>
      </c>
      <c r="N23" s="26" t="s">
        <v>88</v>
      </c>
      <c r="O23" s="26" t="s">
        <v>70</v>
      </c>
      <c r="P23" s="26" t="s">
        <v>70</v>
      </c>
      <c r="Q23" s="26" t="s">
        <v>84</v>
      </c>
      <c r="R23" s="26" t="s">
        <v>91</v>
      </c>
      <c r="S23" s="26" t="s">
        <v>102</v>
      </c>
      <c r="T23" s="26" t="s">
        <v>101</v>
      </c>
      <c r="U23" s="26" t="s">
        <v>102</v>
      </c>
      <c r="V23" s="26" t="s">
        <v>70</v>
      </c>
      <c r="W23" s="26" t="s">
        <v>70</v>
      </c>
      <c r="X23" s="26" t="s">
        <v>89</v>
      </c>
      <c r="Y23" s="26" t="s">
        <v>88</v>
      </c>
      <c r="Z23" s="26" t="s">
        <v>237</v>
      </c>
      <c r="AA23" s="26" t="s">
        <v>88</v>
      </c>
      <c r="AB23" s="26" t="s">
        <v>268</v>
      </c>
      <c r="AC23" s="26" t="s">
        <v>70</v>
      </c>
      <c r="AD23" s="26" t="s">
        <v>70</v>
      </c>
      <c r="AE23" s="95" t="s">
        <v>579</v>
      </c>
      <c r="AF23" s="95" t="s">
        <v>579</v>
      </c>
      <c r="AG23" s="95" t="s">
        <v>579</v>
      </c>
      <c r="AH23" s="95" t="s">
        <v>579</v>
      </c>
      <c r="AI23" s="26" t="s">
        <v>88</v>
      </c>
      <c r="AJ23" s="112"/>
      <c r="AK23" s="106"/>
      <c r="AL23" s="108"/>
      <c r="AM23" s="110"/>
      <c r="AN23" s="114"/>
      <c r="AO23" s="105"/>
    </row>
    <row r="24" spans="1:41" ht="21.75" customHeight="1" x14ac:dyDescent="0.4">
      <c r="A24" s="116"/>
      <c r="B24" s="118" t="s">
        <v>56</v>
      </c>
      <c r="C24" s="120" t="s">
        <v>63</v>
      </c>
      <c r="D24" s="25" t="s">
        <v>51</v>
      </c>
      <c r="E24" s="43" t="s">
        <v>580</v>
      </c>
      <c r="F24" s="26" t="s">
        <v>160</v>
      </c>
      <c r="G24" s="26" t="s">
        <v>68</v>
      </c>
      <c r="H24" s="26" t="s">
        <v>70</v>
      </c>
      <c r="I24" s="26" t="s">
        <v>70</v>
      </c>
      <c r="J24" s="26" t="s">
        <v>72</v>
      </c>
      <c r="K24" s="29" t="s">
        <v>202</v>
      </c>
      <c r="L24" s="26" t="s">
        <v>120</v>
      </c>
      <c r="M24" s="26" t="s">
        <v>162</v>
      </c>
      <c r="N24" s="26" t="s">
        <v>121</v>
      </c>
      <c r="O24" s="26" t="s">
        <v>70</v>
      </c>
      <c r="P24" s="26" t="s">
        <v>70</v>
      </c>
      <c r="Q24" s="26" t="s">
        <v>68</v>
      </c>
      <c r="R24" s="26" t="s">
        <v>149</v>
      </c>
      <c r="S24" s="26" t="s">
        <v>119</v>
      </c>
      <c r="T24" s="26" t="s">
        <v>73</v>
      </c>
      <c r="U24" s="26" t="s">
        <v>121</v>
      </c>
      <c r="V24" s="26" t="s">
        <v>70</v>
      </c>
      <c r="W24" s="26" t="s">
        <v>70</v>
      </c>
      <c r="X24" s="26" t="s">
        <v>73</v>
      </c>
      <c r="Y24" s="26" t="s">
        <v>121</v>
      </c>
      <c r="Z24" s="26" t="s">
        <v>156</v>
      </c>
      <c r="AA24" s="26" t="s">
        <v>162</v>
      </c>
      <c r="AB24" s="26" t="s">
        <v>160</v>
      </c>
      <c r="AC24" s="26" t="s">
        <v>70</v>
      </c>
      <c r="AD24" s="26" t="s">
        <v>70</v>
      </c>
      <c r="AE24" s="95" t="s">
        <v>579</v>
      </c>
      <c r="AF24" s="95" t="s">
        <v>579</v>
      </c>
      <c r="AG24" s="95" t="s">
        <v>579</v>
      </c>
      <c r="AH24" s="95" t="s">
        <v>579</v>
      </c>
      <c r="AI24" s="26" t="s">
        <v>100</v>
      </c>
      <c r="AJ24" s="107"/>
      <c r="AK24" s="169">
        <v>1</v>
      </c>
      <c r="AL24" s="107" t="s">
        <v>282</v>
      </c>
      <c r="AM24" s="109">
        <v>0.5</v>
      </c>
      <c r="AN24" s="113">
        <f>(F24+G24+J24+K24+L24+M24+N24+Q24+R24+S24+T24+U24+X24+Y24+Z24+AA24+AB24+AI24)/18</f>
        <v>0.37017746913580241</v>
      </c>
      <c r="AO24" s="128">
        <f>(F25+G25+J25+K25+L25+M25+Q25+R25+S25+T25+U25+X25+Y25+AA25+AB25+AI25)/16</f>
        <v>0.79661458333333324</v>
      </c>
    </row>
    <row r="25" spans="1:41" ht="21.75" customHeight="1" x14ac:dyDescent="0.4">
      <c r="A25" s="116"/>
      <c r="B25" s="118"/>
      <c r="C25" s="120"/>
      <c r="D25" s="25" t="s">
        <v>52</v>
      </c>
      <c r="E25" s="43" t="s">
        <v>580</v>
      </c>
      <c r="F25" s="26" t="s">
        <v>157</v>
      </c>
      <c r="G25" s="26" t="s">
        <v>178</v>
      </c>
      <c r="H25" s="26" t="s">
        <v>70</v>
      </c>
      <c r="I25" s="26" t="s">
        <v>70</v>
      </c>
      <c r="J25" s="26" t="s">
        <v>214</v>
      </c>
      <c r="K25" s="26" t="s">
        <v>164</v>
      </c>
      <c r="L25" s="26" t="s">
        <v>150</v>
      </c>
      <c r="M25" s="26" t="s">
        <v>91</v>
      </c>
      <c r="N25" s="41" t="s">
        <v>279</v>
      </c>
      <c r="O25" s="26" t="s">
        <v>70</v>
      </c>
      <c r="P25" s="26" t="s">
        <v>70</v>
      </c>
      <c r="Q25" s="26" t="s">
        <v>157</v>
      </c>
      <c r="R25" s="26" t="s">
        <v>86</v>
      </c>
      <c r="S25" s="26" t="s">
        <v>191</v>
      </c>
      <c r="T25" s="26" t="s">
        <v>126</v>
      </c>
      <c r="U25" s="26" t="s">
        <v>113</v>
      </c>
      <c r="V25" s="26" t="s">
        <v>70</v>
      </c>
      <c r="W25" s="26" t="s">
        <v>70</v>
      </c>
      <c r="X25" s="26" t="s">
        <v>144</v>
      </c>
      <c r="Y25" s="26" t="s">
        <v>114</v>
      </c>
      <c r="Z25" s="26" t="s">
        <v>204</v>
      </c>
      <c r="AA25" s="26" t="s">
        <v>158</v>
      </c>
      <c r="AB25" s="26" t="s">
        <v>90</v>
      </c>
      <c r="AC25" s="26" t="s">
        <v>70</v>
      </c>
      <c r="AD25" s="26" t="s">
        <v>70</v>
      </c>
      <c r="AE25" s="95" t="s">
        <v>579</v>
      </c>
      <c r="AF25" s="95" t="s">
        <v>579</v>
      </c>
      <c r="AG25" s="95" t="s">
        <v>579</v>
      </c>
      <c r="AH25" s="95" t="s">
        <v>579</v>
      </c>
      <c r="AI25" s="26" t="s">
        <v>90</v>
      </c>
      <c r="AJ25" s="108"/>
      <c r="AK25" s="166"/>
      <c r="AL25" s="108"/>
      <c r="AM25" s="110"/>
      <c r="AN25" s="114"/>
      <c r="AO25" s="105"/>
    </row>
    <row r="26" spans="1:41" ht="21.75" customHeight="1" x14ac:dyDescent="0.4">
      <c r="A26" s="116"/>
      <c r="B26" s="118" t="s">
        <v>56</v>
      </c>
      <c r="C26" s="120" t="s">
        <v>219</v>
      </c>
      <c r="D26" s="25" t="s">
        <v>51</v>
      </c>
      <c r="E26" s="43" t="s">
        <v>580</v>
      </c>
      <c r="F26" s="126" t="s">
        <v>254</v>
      </c>
      <c r="G26" s="126" t="s">
        <v>176</v>
      </c>
      <c r="H26" s="26" t="s">
        <v>70</v>
      </c>
      <c r="I26" s="26" t="s">
        <v>70</v>
      </c>
      <c r="J26" s="26" t="s">
        <v>215</v>
      </c>
      <c r="K26" s="26" t="s">
        <v>121</v>
      </c>
      <c r="L26" s="26" t="s">
        <v>174</v>
      </c>
      <c r="M26" s="26" t="s">
        <v>76</v>
      </c>
      <c r="N26" s="26" t="s">
        <v>179</v>
      </c>
      <c r="O26" s="26" t="s">
        <v>70</v>
      </c>
      <c r="P26" s="26" t="s">
        <v>70</v>
      </c>
      <c r="Q26" s="26" t="s">
        <v>94</v>
      </c>
      <c r="R26" s="26" t="s">
        <v>152</v>
      </c>
      <c r="S26" s="26" t="s">
        <v>143</v>
      </c>
      <c r="T26" s="26" t="s">
        <v>94</v>
      </c>
      <c r="U26" s="26" t="s">
        <v>134</v>
      </c>
      <c r="V26" s="26" t="s">
        <v>70</v>
      </c>
      <c r="W26" s="26" t="s">
        <v>70</v>
      </c>
      <c r="X26" s="26" t="s">
        <v>179</v>
      </c>
      <c r="Y26" s="26" t="s">
        <v>97</v>
      </c>
      <c r="Z26" s="26" t="s">
        <v>152</v>
      </c>
      <c r="AA26" s="26" t="s">
        <v>140</v>
      </c>
      <c r="AB26" s="26" t="s">
        <v>74</v>
      </c>
      <c r="AC26" s="26" t="s">
        <v>70</v>
      </c>
      <c r="AD26" s="26" t="s">
        <v>70</v>
      </c>
      <c r="AE26" s="95" t="s">
        <v>579</v>
      </c>
      <c r="AF26" s="95" t="s">
        <v>579</v>
      </c>
      <c r="AG26" s="95" t="s">
        <v>579</v>
      </c>
      <c r="AH26" s="95" t="s">
        <v>579</v>
      </c>
      <c r="AI26" s="26" t="s">
        <v>124</v>
      </c>
      <c r="AJ26" s="112"/>
      <c r="AK26" s="106"/>
      <c r="AL26" s="107" t="s">
        <v>282</v>
      </c>
      <c r="AM26" s="109">
        <v>1</v>
      </c>
      <c r="AN26" s="113">
        <f>(J26+K26+L26+M26+N26+Q26+R26+S26+T26+U26+X26+Y26+Z26+AA26+AB26+AI26)/16</f>
        <v>0.35655381944444436</v>
      </c>
      <c r="AO26" s="128">
        <f>(J27+K27+L27+M27+N27+Q27+R27+S27+T27+U27+X27+Y27+AA27+AI27)/14</f>
        <v>0.78740079365079363</v>
      </c>
    </row>
    <row r="27" spans="1:41" ht="21.75" customHeight="1" x14ac:dyDescent="0.4">
      <c r="A27" s="117"/>
      <c r="B27" s="118"/>
      <c r="C27" s="120"/>
      <c r="D27" s="25" t="s">
        <v>52</v>
      </c>
      <c r="E27" s="43" t="s">
        <v>580</v>
      </c>
      <c r="F27" s="126"/>
      <c r="G27" s="126"/>
      <c r="H27" s="26" t="s">
        <v>70</v>
      </c>
      <c r="I27" s="26" t="s">
        <v>70</v>
      </c>
      <c r="J27" s="26" t="s">
        <v>214</v>
      </c>
      <c r="K27" s="26" t="s">
        <v>92</v>
      </c>
      <c r="L27" s="26" t="s">
        <v>86</v>
      </c>
      <c r="M27" s="26" t="s">
        <v>192</v>
      </c>
      <c r="N27" s="26" t="s">
        <v>88</v>
      </c>
      <c r="O27" s="26" t="s">
        <v>70</v>
      </c>
      <c r="P27" s="26" t="s">
        <v>70</v>
      </c>
      <c r="Q27" s="26" t="s">
        <v>101</v>
      </c>
      <c r="R27" s="26" t="s">
        <v>166</v>
      </c>
      <c r="S27" s="26" t="s">
        <v>81</v>
      </c>
      <c r="T27" s="26" t="s">
        <v>101</v>
      </c>
      <c r="U27" s="26" t="s">
        <v>113</v>
      </c>
      <c r="V27" s="26" t="s">
        <v>70</v>
      </c>
      <c r="W27" s="26" t="s">
        <v>70</v>
      </c>
      <c r="X27" s="26" t="s">
        <v>144</v>
      </c>
      <c r="Y27" s="26" t="s">
        <v>80</v>
      </c>
      <c r="Z27" s="26" t="s">
        <v>166</v>
      </c>
      <c r="AA27" s="26" t="s">
        <v>80</v>
      </c>
      <c r="AB27" s="26" t="s">
        <v>273</v>
      </c>
      <c r="AC27" s="26" t="s">
        <v>70</v>
      </c>
      <c r="AD27" s="26" t="s">
        <v>70</v>
      </c>
      <c r="AE27" s="95" t="s">
        <v>579</v>
      </c>
      <c r="AF27" s="95" t="s">
        <v>579</v>
      </c>
      <c r="AG27" s="95" t="s">
        <v>579</v>
      </c>
      <c r="AH27" s="95" t="s">
        <v>579</v>
      </c>
      <c r="AI27" s="26" t="s">
        <v>80</v>
      </c>
      <c r="AJ27" s="112"/>
      <c r="AK27" s="106"/>
      <c r="AL27" s="108"/>
      <c r="AM27" s="110"/>
      <c r="AN27" s="114"/>
      <c r="AO27" s="105"/>
    </row>
    <row r="28" spans="1:41" ht="21.75" customHeight="1" x14ac:dyDescent="0.4">
      <c r="A28" s="117"/>
      <c r="B28" s="118" t="s">
        <v>56</v>
      </c>
      <c r="C28" s="120" t="s">
        <v>242</v>
      </c>
      <c r="D28" s="25" t="s">
        <v>51</v>
      </c>
      <c r="E28" s="43" t="s">
        <v>580</v>
      </c>
      <c r="F28" s="34" t="s">
        <v>121</v>
      </c>
      <c r="G28" s="34" t="s">
        <v>72</v>
      </c>
      <c r="H28" s="26" t="s">
        <v>70</v>
      </c>
      <c r="I28" s="26" t="s">
        <v>70</v>
      </c>
      <c r="J28" s="26" t="s">
        <v>120</v>
      </c>
      <c r="K28" s="26" t="s">
        <v>69</v>
      </c>
      <c r="L28" s="26" t="s">
        <v>120</v>
      </c>
      <c r="M28" s="26" t="s">
        <v>152</v>
      </c>
      <c r="N28" s="26" t="s">
        <v>72</v>
      </c>
      <c r="O28" s="26" t="s">
        <v>70</v>
      </c>
      <c r="P28" s="26" t="s">
        <v>70</v>
      </c>
      <c r="Q28" s="26" t="s">
        <v>79</v>
      </c>
      <c r="R28" s="26" t="s">
        <v>152</v>
      </c>
      <c r="S28" s="26" t="s">
        <v>71</v>
      </c>
      <c r="T28" s="26" t="s">
        <v>69</v>
      </c>
      <c r="U28" s="26" t="s">
        <v>69</v>
      </c>
      <c r="V28" s="26" t="s">
        <v>70</v>
      </c>
      <c r="W28" s="26" t="s">
        <v>70</v>
      </c>
      <c r="X28" s="26" t="s">
        <v>72</v>
      </c>
      <c r="Y28" s="26" t="s">
        <v>68</v>
      </c>
      <c r="Z28" s="26" t="s">
        <v>72</v>
      </c>
      <c r="AA28" s="26" t="s">
        <v>76</v>
      </c>
      <c r="AB28" s="26" t="s">
        <v>72</v>
      </c>
      <c r="AC28" s="26" t="s">
        <v>70</v>
      </c>
      <c r="AD28" s="26" t="s">
        <v>70</v>
      </c>
      <c r="AE28" s="95" t="s">
        <v>579</v>
      </c>
      <c r="AF28" s="95" t="s">
        <v>579</v>
      </c>
      <c r="AG28" s="95" t="s">
        <v>579</v>
      </c>
      <c r="AH28" s="95" t="s">
        <v>579</v>
      </c>
      <c r="AI28" s="26" t="s">
        <v>75</v>
      </c>
      <c r="AJ28" s="112"/>
      <c r="AK28" s="106"/>
      <c r="AL28" s="107" t="s">
        <v>280</v>
      </c>
      <c r="AM28" s="172"/>
      <c r="AN28" s="170">
        <f>(F28+G28+J28+K28+L28+M28+N28+Q28+R28+S28+T28+U28+X28+Y28+Z28+AA28+AB28+AI28)/18</f>
        <v>0.36604938271604942</v>
      </c>
      <c r="AO28" s="128">
        <f>(F29+G29+J29+K29+L29+M29+N29+Q29+R29+S29+T29+U29+X29+Y29+AA29+AI29)/16</f>
        <v>0.80134548611111101</v>
      </c>
    </row>
    <row r="29" spans="1:41" ht="21.75" customHeight="1" thickBot="1" x14ac:dyDescent="0.45">
      <c r="A29" s="117"/>
      <c r="B29" s="119"/>
      <c r="C29" s="121"/>
      <c r="D29" s="31" t="s">
        <v>52</v>
      </c>
      <c r="E29" s="43" t="s">
        <v>580</v>
      </c>
      <c r="F29" s="32" t="s">
        <v>123</v>
      </c>
      <c r="G29" s="32" t="s">
        <v>85</v>
      </c>
      <c r="H29" s="32" t="s">
        <v>70</v>
      </c>
      <c r="I29" s="32" t="s">
        <v>70</v>
      </c>
      <c r="J29" s="32" t="s">
        <v>166</v>
      </c>
      <c r="K29" s="32" t="s">
        <v>90</v>
      </c>
      <c r="L29" s="32" t="s">
        <v>103</v>
      </c>
      <c r="M29" s="32" t="s">
        <v>133</v>
      </c>
      <c r="N29" s="32" t="s">
        <v>80</v>
      </c>
      <c r="O29" s="32" t="s">
        <v>70</v>
      </c>
      <c r="P29" s="32" t="s">
        <v>70</v>
      </c>
      <c r="Q29" s="32" t="s">
        <v>86</v>
      </c>
      <c r="R29" s="32" t="s">
        <v>165</v>
      </c>
      <c r="S29" s="32" t="s">
        <v>205</v>
      </c>
      <c r="T29" s="32" t="s">
        <v>117</v>
      </c>
      <c r="U29" s="32" t="s">
        <v>113</v>
      </c>
      <c r="V29" s="32" t="s">
        <v>70</v>
      </c>
      <c r="W29" s="32" t="s">
        <v>70</v>
      </c>
      <c r="X29" s="32" t="s">
        <v>170</v>
      </c>
      <c r="Y29" s="32" t="s">
        <v>132</v>
      </c>
      <c r="Z29" s="32" t="s">
        <v>245</v>
      </c>
      <c r="AA29" s="32" t="s">
        <v>90</v>
      </c>
      <c r="AB29" s="32" t="s">
        <v>273</v>
      </c>
      <c r="AC29" s="32" t="s">
        <v>70</v>
      </c>
      <c r="AD29" s="32" t="s">
        <v>70</v>
      </c>
      <c r="AE29" s="95" t="s">
        <v>579</v>
      </c>
      <c r="AF29" s="95" t="s">
        <v>579</v>
      </c>
      <c r="AG29" s="95" t="s">
        <v>579</v>
      </c>
      <c r="AH29" s="95" t="s">
        <v>579</v>
      </c>
      <c r="AI29" s="32" t="s">
        <v>81</v>
      </c>
      <c r="AJ29" s="122"/>
      <c r="AK29" s="167"/>
      <c r="AL29" s="144"/>
      <c r="AM29" s="173"/>
      <c r="AN29" s="171"/>
      <c r="AO29" s="129"/>
    </row>
    <row r="30" spans="1:41" ht="21.75" customHeight="1" x14ac:dyDescent="0.4">
      <c r="A30" s="123" t="s">
        <v>64</v>
      </c>
      <c r="B30" s="143" t="s">
        <v>59</v>
      </c>
      <c r="C30" s="159" t="s">
        <v>65</v>
      </c>
      <c r="D30" s="33" t="s">
        <v>51</v>
      </c>
      <c r="E30" s="43" t="s">
        <v>580</v>
      </c>
      <c r="F30" s="34" t="s">
        <v>107</v>
      </c>
      <c r="G30" s="34" t="s">
        <v>196</v>
      </c>
      <c r="H30" s="34" t="s">
        <v>70</v>
      </c>
      <c r="I30" s="34" t="s">
        <v>70</v>
      </c>
      <c r="J30" s="34" t="s">
        <v>179</v>
      </c>
      <c r="K30" s="34" t="s">
        <v>74</v>
      </c>
      <c r="L30" s="34" t="s">
        <v>95</v>
      </c>
      <c r="M30" s="34" t="s">
        <v>93</v>
      </c>
      <c r="N30" s="34" t="s">
        <v>95</v>
      </c>
      <c r="O30" s="34" t="s">
        <v>70</v>
      </c>
      <c r="P30" s="34" t="s">
        <v>70</v>
      </c>
      <c r="Q30" s="34" t="s">
        <v>95</v>
      </c>
      <c r="R30" s="34" t="s">
        <v>100</v>
      </c>
      <c r="S30" s="34" t="s">
        <v>134</v>
      </c>
      <c r="T30" s="34" t="s">
        <v>100</v>
      </c>
      <c r="U30" s="34" t="s">
        <v>119</v>
      </c>
      <c r="V30" s="34" t="s">
        <v>70</v>
      </c>
      <c r="W30" s="34" t="s">
        <v>70</v>
      </c>
      <c r="X30" s="34" t="s">
        <v>94</v>
      </c>
      <c r="Y30" s="34" t="s">
        <v>142</v>
      </c>
      <c r="Z30" s="34" t="s">
        <v>142</v>
      </c>
      <c r="AA30" s="34" t="s">
        <v>95</v>
      </c>
      <c r="AB30" s="34" t="s">
        <v>119</v>
      </c>
      <c r="AC30" s="34" t="s">
        <v>70</v>
      </c>
      <c r="AD30" s="34" t="s">
        <v>70</v>
      </c>
      <c r="AE30" s="95" t="s">
        <v>579</v>
      </c>
      <c r="AF30" s="95" t="s">
        <v>579</v>
      </c>
      <c r="AG30" s="95" t="s">
        <v>579</v>
      </c>
      <c r="AH30" s="95" t="s">
        <v>579</v>
      </c>
      <c r="AI30" s="34" t="s">
        <v>99</v>
      </c>
      <c r="AJ30" s="160" t="s">
        <v>280</v>
      </c>
      <c r="AK30" s="166"/>
      <c r="AL30" s="163" t="s">
        <v>281</v>
      </c>
      <c r="AM30" s="109"/>
      <c r="AN30" s="113">
        <f>(F30+G30+J30+K30+L30+M30+N30+Q30+R30+S30+T30+U30+X30+Y30+Z30+AA30+AB30+AI30)/18</f>
        <v>0.35513117283950618</v>
      </c>
      <c r="AO30" s="104">
        <f>(F31+G31+J31+K31+L31+M31+N31+Q31+R31+S31+T31+U31+X31+Y31+Z31+AA31+AB31+AI31)/18</f>
        <v>0.81304012345679011</v>
      </c>
    </row>
    <row r="31" spans="1:41" ht="21.75" customHeight="1" x14ac:dyDescent="0.4">
      <c r="A31" s="124"/>
      <c r="B31" s="118"/>
      <c r="C31" s="120"/>
      <c r="D31" s="25" t="s">
        <v>52</v>
      </c>
      <c r="E31" s="43" t="s">
        <v>580</v>
      </c>
      <c r="F31" s="26" t="s">
        <v>189</v>
      </c>
      <c r="G31" s="26" t="s">
        <v>130</v>
      </c>
      <c r="H31" s="26" t="s">
        <v>70</v>
      </c>
      <c r="I31" s="26" t="s">
        <v>70</v>
      </c>
      <c r="J31" s="26" t="s">
        <v>155</v>
      </c>
      <c r="K31" s="26" t="s">
        <v>208</v>
      </c>
      <c r="L31" s="26" t="s">
        <v>190</v>
      </c>
      <c r="M31" s="26" t="s">
        <v>117</v>
      </c>
      <c r="N31" s="26" t="s">
        <v>258</v>
      </c>
      <c r="O31" s="26" t="s">
        <v>70</v>
      </c>
      <c r="P31" s="26" t="s">
        <v>70</v>
      </c>
      <c r="Q31" s="26" t="s">
        <v>212</v>
      </c>
      <c r="R31" s="26" t="s">
        <v>171</v>
      </c>
      <c r="S31" s="26" t="s">
        <v>148</v>
      </c>
      <c r="T31" s="26" t="s">
        <v>186</v>
      </c>
      <c r="U31" s="26" t="s">
        <v>129</v>
      </c>
      <c r="V31" s="26" t="s">
        <v>70</v>
      </c>
      <c r="W31" s="26" t="s">
        <v>70</v>
      </c>
      <c r="X31" s="26" t="s">
        <v>127</v>
      </c>
      <c r="Y31" s="26" t="s">
        <v>105</v>
      </c>
      <c r="Z31" s="26" t="s">
        <v>170</v>
      </c>
      <c r="AA31" s="26" t="s">
        <v>199</v>
      </c>
      <c r="AB31" s="26" t="s">
        <v>90</v>
      </c>
      <c r="AC31" s="26" t="s">
        <v>70</v>
      </c>
      <c r="AD31" s="26" t="s">
        <v>70</v>
      </c>
      <c r="AE31" s="95" t="s">
        <v>579</v>
      </c>
      <c r="AF31" s="95" t="s">
        <v>579</v>
      </c>
      <c r="AG31" s="95" t="s">
        <v>579</v>
      </c>
      <c r="AH31" s="95" t="s">
        <v>579</v>
      </c>
      <c r="AI31" s="26" t="s">
        <v>183</v>
      </c>
      <c r="AJ31" s="127"/>
      <c r="AK31" s="106"/>
      <c r="AL31" s="108"/>
      <c r="AM31" s="110"/>
      <c r="AN31" s="114"/>
      <c r="AO31" s="105"/>
    </row>
    <row r="32" spans="1:41" ht="21.75" customHeight="1" x14ac:dyDescent="0.4">
      <c r="A32" s="124"/>
      <c r="B32" s="118" t="s">
        <v>67</v>
      </c>
      <c r="C32" s="120" t="s">
        <v>66</v>
      </c>
      <c r="D32" s="25" t="s">
        <v>51</v>
      </c>
      <c r="E32" s="43" t="s">
        <v>580</v>
      </c>
      <c r="F32" s="26" t="s">
        <v>94</v>
      </c>
      <c r="G32" s="26" t="s">
        <v>149</v>
      </c>
      <c r="H32" s="26" t="s">
        <v>70</v>
      </c>
      <c r="I32" s="26" t="s">
        <v>70</v>
      </c>
      <c r="J32" s="26" t="s">
        <v>76</v>
      </c>
      <c r="K32" s="126" t="s">
        <v>176</v>
      </c>
      <c r="L32" s="26" t="s">
        <v>74</v>
      </c>
      <c r="M32" s="26" t="s">
        <v>68</v>
      </c>
      <c r="N32" s="26" t="s">
        <v>99</v>
      </c>
      <c r="O32" s="26" t="s">
        <v>70</v>
      </c>
      <c r="P32" s="26" t="s">
        <v>70</v>
      </c>
      <c r="Q32" s="26" t="s">
        <v>72</v>
      </c>
      <c r="R32" s="26" t="s">
        <v>69</v>
      </c>
      <c r="S32" s="26" t="s">
        <v>72</v>
      </c>
      <c r="T32" s="26" t="s">
        <v>119</v>
      </c>
      <c r="U32" s="26" t="s">
        <v>73</v>
      </c>
      <c r="V32" s="26" t="s">
        <v>70</v>
      </c>
      <c r="W32" s="26" t="s">
        <v>70</v>
      </c>
      <c r="X32" s="26" t="s">
        <v>152</v>
      </c>
      <c r="Y32" s="26" t="s">
        <v>122</v>
      </c>
      <c r="Z32" s="26" t="s">
        <v>93</v>
      </c>
      <c r="AA32" s="26" t="s">
        <v>75</v>
      </c>
      <c r="AB32" s="26" t="s">
        <v>119</v>
      </c>
      <c r="AC32" s="26" t="s">
        <v>70</v>
      </c>
      <c r="AD32" s="26" t="s">
        <v>70</v>
      </c>
      <c r="AE32" s="95" t="s">
        <v>579</v>
      </c>
      <c r="AF32" s="95" t="s">
        <v>579</v>
      </c>
      <c r="AG32" s="95" t="s">
        <v>579</v>
      </c>
      <c r="AH32" s="95" t="s">
        <v>579</v>
      </c>
      <c r="AI32" s="26" t="s">
        <v>99</v>
      </c>
      <c r="AJ32" s="112"/>
      <c r="AK32" s="106"/>
      <c r="AL32" s="107" t="s">
        <v>281</v>
      </c>
      <c r="AM32" s="109">
        <v>1</v>
      </c>
      <c r="AN32" s="113">
        <f>(F32+G32+J32+L32+M32+N32+Q32+R32+S32+T32+U32+X32+Y32+Z32+AA32+AB32+AI32)/17</f>
        <v>0.36433823529411763</v>
      </c>
      <c r="AO32" s="128">
        <f>(F33+G33+J33+L33+M33+N33+Q33+R33+S33+T33+U33+X33+Y33+Z33+AA33+AB33+AI33)/17</f>
        <v>0.82859477124183012</v>
      </c>
    </row>
    <row r="33" spans="1:41" ht="21.75" customHeight="1" x14ac:dyDescent="0.4">
      <c r="A33" s="124"/>
      <c r="B33" s="118"/>
      <c r="C33" s="120"/>
      <c r="D33" s="25" t="s">
        <v>52</v>
      </c>
      <c r="E33" s="43" t="s">
        <v>580</v>
      </c>
      <c r="F33" s="26" t="s">
        <v>195</v>
      </c>
      <c r="G33" s="26" t="s">
        <v>178</v>
      </c>
      <c r="H33" s="26" t="s">
        <v>70</v>
      </c>
      <c r="I33" s="26" t="s">
        <v>70</v>
      </c>
      <c r="J33" s="26" t="s">
        <v>269</v>
      </c>
      <c r="K33" s="126"/>
      <c r="L33" s="26" t="s">
        <v>191</v>
      </c>
      <c r="M33" s="26" t="s">
        <v>144</v>
      </c>
      <c r="N33" s="26" t="s">
        <v>212</v>
      </c>
      <c r="O33" s="26" t="s">
        <v>70</v>
      </c>
      <c r="P33" s="26" t="s">
        <v>70</v>
      </c>
      <c r="Q33" s="26" t="s">
        <v>270</v>
      </c>
      <c r="R33" s="26" t="s">
        <v>159</v>
      </c>
      <c r="S33" s="26" t="s">
        <v>131</v>
      </c>
      <c r="T33" s="26" t="s">
        <v>199</v>
      </c>
      <c r="U33" s="26" t="s">
        <v>175</v>
      </c>
      <c r="V33" s="26" t="s">
        <v>70</v>
      </c>
      <c r="W33" s="26" t="s">
        <v>70</v>
      </c>
      <c r="X33" s="26" t="s">
        <v>129</v>
      </c>
      <c r="Y33" s="26" t="s">
        <v>167</v>
      </c>
      <c r="Z33" s="26" t="s">
        <v>170</v>
      </c>
      <c r="AA33" s="26" t="s">
        <v>224</v>
      </c>
      <c r="AB33" s="26" t="s">
        <v>90</v>
      </c>
      <c r="AC33" s="26" t="s">
        <v>70</v>
      </c>
      <c r="AD33" s="26" t="s">
        <v>70</v>
      </c>
      <c r="AE33" s="95" t="s">
        <v>579</v>
      </c>
      <c r="AF33" s="95" t="s">
        <v>579</v>
      </c>
      <c r="AG33" s="95" t="s">
        <v>579</v>
      </c>
      <c r="AH33" s="95" t="s">
        <v>579</v>
      </c>
      <c r="AI33" s="26" t="s">
        <v>195</v>
      </c>
      <c r="AJ33" s="112"/>
      <c r="AK33" s="106"/>
      <c r="AL33" s="108"/>
      <c r="AM33" s="110"/>
      <c r="AN33" s="114"/>
      <c r="AO33" s="105"/>
    </row>
    <row r="34" spans="1:41" ht="21.75" customHeight="1" x14ac:dyDescent="0.4">
      <c r="A34" s="124"/>
      <c r="B34" s="118" t="s">
        <v>49</v>
      </c>
      <c r="C34" s="120" t="s">
        <v>194</v>
      </c>
      <c r="D34" s="25" t="s">
        <v>51</v>
      </c>
      <c r="E34" s="43" t="s">
        <v>580</v>
      </c>
      <c r="F34" s="26" t="s">
        <v>121</v>
      </c>
      <c r="G34" s="26" t="s">
        <v>121</v>
      </c>
      <c r="H34" s="26" t="s">
        <v>70</v>
      </c>
      <c r="I34" s="26" t="s">
        <v>70</v>
      </c>
      <c r="J34" s="26" t="s">
        <v>160</v>
      </c>
      <c r="K34" s="26" t="s">
        <v>135</v>
      </c>
      <c r="L34" s="26" t="s">
        <v>122</v>
      </c>
      <c r="M34" s="26" t="s">
        <v>160</v>
      </c>
      <c r="N34" s="26" t="s">
        <v>122</v>
      </c>
      <c r="O34" s="26" t="s">
        <v>70</v>
      </c>
      <c r="P34" s="26" t="s">
        <v>70</v>
      </c>
      <c r="Q34" s="26" t="s">
        <v>121</v>
      </c>
      <c r="R34" s="26" t="s">
        <v>156</v>
      </c>
      <c r="S34" s="26" t="s">
        <v>71</v>
      </c>
      <c r="T34" s="26" t="s">
        <v>149</v>
      </c>
      <c r="U34" s="26" t="s">
        <v>161</v>
      </c>
      <c r="V34" s="26" t="s">
        <v>70</v>
      </c>
      <c r="W34" s="26" t="s">
        <v>70</v>
      </c>
      <c r="X34" s="26" t="s">
        <v>69</v>
      </c>
      <c r="Y34" s="26" t="s">
        <v>79</v>
      </c>
      <c r="Z34" s="26" t="s">
        <v>120</v>
      </c>
      <c r="AA34" s="26" t="s">
        <v>160</v>
      </c>
      <c r="AB34" s="26" t="s">
        <v>160</v>
      </c>
      <c r="AC34" s="26" t="s">
        <v>70</v>
      </c>
      <c r="AD34" s="26" t="s">
        <v>70</v>
      </c>
      <c r="AE34" s="95" t="s">
        <v>579</v>
      </c>
      <c r="AF34" s="95" t="s">
        <v>579</v>
      </c>
      <c r="AG34" s="95" t="s">
        <v>579</v>
      </c>
      <c r="AH34" s="95" t="s">
        <v>579</v>
      </c>
      <c r="AI34" s="26" t="s">
        <v>99</v>
      </c>
      <c r="AJ34" s="112"/>
      <c r="AK34" s="106"/>
      <c r="AL34" s="106" t="s">
        <v>280</v>
      </c>
      <c r="AM34" s="109"/>
      <c r="AN34" s="113">
        <f>(F34+G34+J34+K34+L34+M34+N34+Q34+R34+S34+T34+U34+X34+Y34+Z34+AA34+AB34+AI34)/18</f>
        <v>0.37013888888888896</v>
      </c>
      <c r="AO34" s="104">
        <f>(F35+G35+J35+K35+L35+M35+N35+Q35+R35+S35+T35+U35+X35+Y35+AA35+AI35)/16</f>
        <v>0.80481770833333333</v>
      </c>
    </row>
    <row r="35" spans="1:41" ht="21.75" customHeight="1" x14ac:dyDescent="0.4">
      <c r="A35" s="124"/>
      <c r="B35" s="118"/>
      <c r="C35" s="120"/>
      <c r="D35" s="25" t="s">
        <v>52</v>
      </c>
      <c r="E35" s="43" t="s">
        <v>580</v>
      </c>
      <c r="F35" s="26" t="s">
        <v>144</v>
      </c>
      <c r="G35" s="26" t="s">
        <v>92</v>
      </c>
      <c r="H35" s="26" t="s">
        <v>70</v>
      </c>
      <c r="I35" s="26" t="s">
        <v>70</v>
      </c>
      <c r="J35" s="26" t="s">
        <v>141</v>
      </c>
      <c r="K35" s="26" t="s">
        <v>81</v>
      </c>
      <c r="L35" s="26" t="s">
        <v>158</v>
      </c>
      <c r="M35" s="26" t="s">
        <v>81</v>
      </c>
      <c r="N35" s="26" t="s">
        <v>169</v>
      </c>
      <c r="O35" s="26" t="s">
        <v>70</v>
      </c>
      <c r="P35" s="26" t="s">
        <v>70</v>
      </c>
      <c r="Q35" s="26" t="s">
        <v>145</v>
      </c>
      <c r="R35" s="26" t="s">
        <v>198</v>
      </c>
      <c r="S35" s="26" t="s">
        <v>153</v>
      </c>
      <c r="T35" s="26" t="s">
        <v>127</v>
      </c>
      <c r="U35" s="26" t="s">
        <v>145</v>
      </c>
      <c r="V35" s="26" t="s">
        <v>70</v>
      </c>
      <c r="W35" s="26" t="s">
        <v>70</v>
      </c>
      <c r="X35" s="26" t="s">
        <v>118</v>
      </c>
      <c r="Y35" s="26" t="s">
        <v>153</v>
      </c>
      <c r="Z35" s="26" t="s">
        <v>234</v>
      </c>
      <c r="AA35" s="26" t="s">
        <v>203</v>
      </c>
      <c r="AB35" s="26" t="s">
        <v>164</v>
      </c>
      <c r="AC35" s="26" t="s">
        <v>70</v>
      </c>
      <c r="AD35" s="26" t="s">
        <v>70</v>
      </c>
      <c r="AE35" s="95" t="s">
        <v>579</v>
      </c>
      <c r="AF35" s="95" t="s">
        <v>579</v>
      </c>
      <c r="AG35" s="95" t="s">
        <v>579</v>
      </c>
      <c r="AH35" s="95" t="s">
        <v>579</v>
      </c>
      <c r="AI35" s="26" t="s">
        <v>195</v>
      </c>
      <c r="AJ35" s="112"/>
      <c r="AK35" s="106"/>
      <c r="AL35" s="106"/>
      <c r="AM35" s="110"/>
      <c r="AN35" s="114"/>
      <c r="AO35" s="105"/>
    </row>
    <row r="36" spans="1:41" ht="21.75" customHeight="1" x14ac:dyDescent="0.4">
      <c r="A36" s="124"/>
      <c r="B36" s="118" t="s">
        <v>53</v>
      </c>
      <c r="C36" s="120" t="s">
        <v>62</v>
      </c>
      <c r="D36" s="25" t="s">
        <v>51</v>
      </c>
      <c r="E36" s="43" t="s">
        <v>580</v>
      </c>
      <c r="F36" s="26" t="s">
        <v>68</v>
      </c>
      <c r="G36" s="26" t="s">
        <v>72</v>
      </c>
      <c r="H36" s="26" t="s">
        <v>70</v>
      </c>
      <c r="I36" s="26" t="s">
        <v>70</v>
      </c>
      <c r="J36" s="26" t="s">
        <v>69</v>
      </c>
      <c r="K36" s="26" t="s">
        <v>69</v>
      </c>
      <c r="L36" s="26" t="s">
        <v>119</v>
      </c>
      <c r="M36" s="26" t="s">
        <v>68</v>
      </c>
      <c r="N36" s="26" t="s">
        <v>121</v>
      </c>
      <c r="O36" s="26" t="s">
        <v>70</v>
      </c>
      <c r="P36" s="26" t="s">
        <v>70</v>
      </c>
      <c r="Q36" s="26" t="s">
        <v>69</v>
      </c>
      <c r="R36" s="26" t="s">
        <v>76</v>
      </c>
      <c r="S36" s="26" t="s">
        <v>72</v>
      </c>
      <c r="T36" s="26" t="s">
        <v>72</v>
      </c>
      <c r="U36" s="26" t="s">
        <v>93</v>
      </c>
      <c r="V36" s="26"/>
      <c r="W36" s="26"/>
      <c r="X36" s="26" t="s">
        <v>76</v>
      </c>
      <c r="Y36" s="26" t="s">
        <v>76</v>
      </c>
      <c r="Z36" s="26" t="s">
        <v>69</v>
      </c>
      <c r="AA36" s="26" t="s">
        <v>76</v>
      </c>
      <c r="AB36" s="26" t="s">
        <v>73</v>
      </c>
      <c r="AC36" s="26"/>
      <c r="AD36" s="26"/>
      <c r="AE36" s="95" t="s">
        <v>579</v>
      </c>
      <c r="AF36" s="95" t="s">
        <v>579</v>
      </c>
      <c r="AG36" s="95" t="s">
        <v>579</v>
      </c>
      <c r="AH36" s="95" t="s">
        <v>579</v>
      </c>
      <c r="AI36" s="60" t="s">
        <v>137</v>
      </c>
      <c r="AJ36" s="112"/>
      <c r="AK36" s="106"/>
      <c r="AL36" s="106"/>
      <c r="AM36" s="109">
        <v>0.5</v>
      </c>
      <c r="AN36" s="113">
        <f>(F36+G36+J36+K36+L36+M36+N36+Q36+R36+S36+T36+U36+X36+Y36+Z36+AA36+AB36)/17</f>
        <v>0.36462418300653598</v>
      </c>
      <c r="AO36" s="104">
        <f>(F37+G37+J37+L37+M37+N37+Q37+R37+S37+T37+U37+X37+Y37+AA37+AI37)/15</f>
        <v>0.77824074074074068</v>
      </c>
    </row>
    <row r="37" spans="1:41" ht="21.75" customHeight="1" x14ac:dyDescent="0.4">
      <c r="A37" s="124"/>
      <c r="B37" s="118"/>
      <c r="C37" s="120"/>
      <c r="D37" s="25" t="s">
        <v>52</v>
      </c>
      <c r="E37" s="43" t="s">
        <v>580</v>
      </c>
      <c r="F37" s="26" t="s">
        <v>84</v>
      </c>
      <c r="G37" s="26" t="s">
        <v>91</v>
      </c>
      <c r="H37" s="26" t="s">
        <v>70</v>
      </c>
      <c r="I37" s="26" t="s">
        <v>70</v>
      </c>
      <c r="J37" s="26" t="s">
        <v>101</v>
      </c>
      <c r="K37" s="41" t="s">
        <v>279</v>
      </c>
      <c r="L37" s="26" t="s">
        <v>141</v>
      </c>
      <c r="M37" s="26" t="s">
        <v>101</v>
      </c>
      <c r="N37" s="26" t="s">
        <v>85</v>
      </c>
      <c r="O37" s="26" t="s">
        <v>70</v>
      </c>
      <c r="P37" s="26" t="s">
        <v>70</v>
      </c>
      <c r="Q37" s="26" t="s">
        <v>81</v>
      </c>
      <c r="R37" s="26" t="s">
        <v>173</v>
      </c>
      <c r="S37" s="26" t="s">
        <v>158</v>
      </c>
      <c r="T37" s="26" t="s">
        <v>169</v>
      </c>
      <c r="U37" s="26" t="s">
        <v>92</v>
      </c>
      <c r="V37" s="26"/>
      <c r="W37" s="26"/>
      <c r="X37" s="26" t="s">
        <v>101</v>
      </c>
      <c r="Y37" s="26" t="s">
        <v>80</v>
      </c>
      <c r="Z37" s="26" t="s">
        <v>216</v>
      </c>
      <c r="AA37" s="26" t="s">
        <v>85</v>
      </c>
      <c r="AB37" s="26" t="s">
        <v>278</v>
      </c>
      <c r="AC37" s="26"/>
      <c r="AD37" s="26"/>
      <c r="AE37" s="95" t="s">
        <v>579</v>
      </c>
      <c r="AF37" s="95" t="s">
        <v>579</v>
      </c>
      <c r="AG37" s="95" t="s">
        <v>579</v>
      </c>
      <c r="AH37" s="95" t="s">
        <v>579</v>
      </c>
      <c r="AI37" s="26" t="s">
        <v>101</v>
      </c>
      <c r="AJ37" s="112"/>
      <c r="AK37" s="106"/>
      <c r="AL37" s="106"/>
      <c r="AM37" s="110"/>
      <c r="AN37" s="114"/>
      <c r="AO37" s="105"/>
    </row>
    <row r="38" spans="1:41" ht="21.75" customHeight="1" x14ac:dyDescent="0.4">
      <c r="A38" s="124"/>
      <c r="B38" s="118" t="s">
        <v>56</v>
      </c>
      <c r="C38" s="120" t="s">
        <v>210</v>
      </c>
      <c r="D38" s="25" t="s">
        <v>51</v>
      </c>
      <c r="E38" s="43" t="s">
        <v>580</v>
      </c>
      <c r="F38" s="26" t="s">
        <v>142</v>
      </c>
      <c r="G38" s="26" t="s">
        <v>96</v>
      </c>
      <c r="H38" s="26" t="s">
        <v>70</v>
      </c>
      <c r="I38" s="26" t="s">
        <v>70</v>
      </c>
      <c r="J38" s="26" t="s">
        <v>95</v>
      </c>
      <c r="K38" s="26" t="s">
        <v>110</v>
      </c>
      <c r="L38" s="26" t="s">
        <v>137</v>
      </c>
      <c r="M38" s="26" t="s">
        <v>124</v>
      </c>
      <c r="N38" s="126" t="s">
        <v>176</v>
      </c>
      <c r="O38" s="26" t="s">
        <v>70</v>
      </c>
      <c r="P38" s="26" t="s">
        <v>70</v>
      </c>
      <c r="Q38" s="126" t="s">
        <v>176</v>
      </c>
      <c r="R38" s="126" t="s">
        <v>176</v>
      </c>
      <c r="S38" s="26" t="s">
        <v>134</v>
      </c>
      <c r="T38" s="26" t="s">
        <v>110</v>
      </c>
      <c r="U38" s="26" t="s">
        <v>77</v>
      </c>
      <c r="V38" s="26" t="s">
        <v>70</v>
      </c>
      <c r="W38" s="26" t="s">
        <v>70</v>
      </c>
      <c r="X38" s="26" t="s">
        <v>77</v>
      </c>
      <c r="Y38" s="26" t="s">
        <v>110</v>
      </c>
      <c r="Z38" s="26" t="s">
        <v>137</v>
      </c>
      <c r="AA38" s="26" t="s">
        <v>137</v>
      </c>
      <c r="AB38" s="26" t="s">
        <v>77</v>
      </c>
      <c r="AC38" s="26" t="s">
        <v>70</v>
      </c>
      <c r="AD38" s="26" t="s">
        <v>70</v>
      </c>
      <c r="AE38" s="95" t="s">
        <v>579</v>
      </c>
      <c r="AF38" s="95" t="s">
        <v>579</v>
      </c>
      <c r="AG38" s="95" t="s">
        <v>579</v>
      </c>
      <c r="AH38" s="95" t="s">
        <v>579</v>
      </c>
      <c r="AI38" s="26" t="s">
        <v>77</v>
      </c>
      <c r="AJ38" s="112"/>
      <c r="AK38" s="106"/>
      <c r="AL38" s="107"/>
      <c r="AM38" s="109">
        <v>3</v>
      </c>
      <c r="AN38" s="113">
        <f>(F38+G38+J38+K38+L38+M38+S38+T38+U38+X38+Y38+Z38+AA38+AB38+AI38)/15</f>
        <v>0.35254629629629625</v>
      </c>
      <c r="AO38" s="128">
        <f>(F39+G39+J39+K39+L39+M39+S39+T39+U39+X39+Y39+AA39+AI39)/13</f>
        <v>0.7811965811965812</v>
      </c>
    </row>
    <row r="39" spans="1:41" ht="21.75" customHeight="1" x14ac:dyDescent="0.4">
      <c r="A39" s="124"/>
      <c r="B39" s="118"/>
      <c r="C39" s="120"/>
      <c r="D39" s="25" t="s">
        <v>52</v>
      </c>
      <c r="E39" s="43" t="s">
        <v>580</v>
      </c>
      <c r="F39" s="26" t="s">
        <v>83</v>
      </c>
      <c r="G39" s="26" t="s">
        <v>151</v>
      </c>
      <c r="H39" s="26" t="s">
        <v>70</v>
      </c>
      <c r="I39" s="26" t="s">
        <v>70</v>
      </c>
      <c r="J39" s="26" t="s">
        <v>91</v>
      </c>
      <c r="K39" s="26" t="s">
        <v>102</v>
      </c>
      <c r="L39" s="26" t="s">
        <v>86</v>
      </c>
      <c r="M39" s="26" t="s">
        <v>192</v>
      </c>
      <c r="N39" s="126"/>
      <c r="O39" s="26" t="s">
        <v>70</v>
      </c>
      <c r="P39" s="26" t="s">
        <v>70</v>
      </c>
      <c r="Q39" s="126"/>
      <c r="R39" s="126"/>
      <c r="S39" s="26" t="s">
        <v>158</v>
      </c>
      <c r="T39" s="26" t="s">
        <v>81</v>
      </c>
      <c r="U39" s="26" t="s">
        <v>89</v>
      </c>
      <c r="V39" s="26" t="s">
        <v>70</v>
      </c>
      <c r="W39" s="26" t="s">
        <v>70</v>
      </c>
      <c r="X39" s="26" t="s">
        <v>146</v>
      </c>
      <c r="Y39" s="26" t="s">
        <v>84</v>
      </c>
      <c r="Z39" s="26" t="s">
        <v>218</v>
      </c>
      <c r="AA39" s="26" t="s">
        <v>85</v>
      </c>
      <c r="AB39" s="26" t="s">
        <v>275</v>
      </c>
      <c r="AC39" s="26" t="s">
        <v>70</v>
      </c>
      <c r="AD39" s="26" t="s">
        <v>70</v>
      </c>
      <c r="AE39" s="95" t="s">
        <v>579</v>
      </c>
      <c r="AF39" s="95" t="s">
        <v>579</v>
      </c>
      <c r="AG39" s="95" t="s">
        <v>579</v>
      </c>
      <c r="AH39" s="95" t="s">
        <v>579</v>
      </c>
      <c r="AI39" s="26" t="s">
        <v>86</v>
      </c>
      <c r="AJ39" s="112"/>
      <c r="AK39" s="106"/>
      <c r="AL39" s="108"/>
      <c r="AM39" s="110"/>
      <c r="AN39" s="114"/>
      <c r="AO39" s="105"/>
    </row>
    <row r="40" spans="1:41" ht="21.75" customHeight="1" x14ac:dyDescent="0.4">
      <c r="A40" s="124"/>
      <c r="B40" s="118" t="s">
        <v>56</v>
      </c>
      <c r="C40" s="120" t="s">
        <v>227</v>
      </c>
      <c r="D40" s="25" t="s">
        <v>51</v>
      </c>
      <c r="E40" s="43" t="s">
        <v>580</v>
      </c>
      <c r="F40" s="26" t="s">
        <v>156</v>
      </c>
      <c r="G40" s="26" t="s">
        <v>121</v>
      </c>
      <c r="H40" s="26" t="s">
        <v>70</v>
      </c>
      <c r="I40" s="26" t="s">
        <v>70</v>
      </c>
      <c r="J40" s="26" t="s">
        <v>160</v>
      </c>
      <c r="K40" s="26" t="s">
        <v>156</v>
      </c>
      <c r="L40" s="26" t="s">
        <v>160</v>
      </c>
      <c r="M40" s="26" t="s">
        <v>71</v>
      </c>
      <c r="N40" s="26" t="s">
        <v>121</v>
      </c>
      <c r="O40" s="26" t="s">
        <v>70</v>
      </c>
      <c r="P40" s="26" t="s">
        <v>70</v>
      </c>
      <c r="Q40" s="26" t="s">
        <v>68</v>
      </c>
      <c r="R40" s="26" t="s">
        <v>68</v>
      </c>
      <c r="S40" s="26" t="s">
        <v>120</v>
      </c>
      <c r="T40" s="26" t="s">
        <v>71</v>
      </c>
      <c r="U40" s="26" t="s">
        <v>69</v>
      </c>
      <c r="V40" s="26" t="s">
        <v>70</v>
      </c>
      <c r="W40" s="26" t="s">
        <v>70</v>
      </c>
      <c r="X40" s="26" t="s">
        <v>68</v>
      </c>
      <c r="Y40" s="26" t="s">
        <v>121</v>
      </c>
      <c r="Z40" s="26" t="s">
        <v>71</v>
      </c>
      <c r="AA40" s="26" t="s">
        <v>160</v>
      </c>
      <c r="AB40" s="26" t="s">
        <v>79</v>
      </c>
      <c r="AC40" s="26" t="s">
        <v>70</v>
      </c>
      <c r="AD40" s="26" t="s">
        <v>70</v>
      </c>
      <c r="AE40" s="95" t="s">
        <v>579</v>
      </c>
      <c r="AF40" s="95" t="s">
        <v>579</v>
      </c>
      <c r="AG40" s="95" t="s">
        <v>579</v>
      </c>
      <c r="AH40" s="95" t="s">
        <v>579</v>
      </c>
      <c r="AI40" s="26" t="s">
        <v>69</v>
      </c>
      <c r="AJ40" s="112"/>
      <c r="AK40" s="106"/>
      <c r="AL40" s="107"/>
      <c r="AM40" s="109">
        <v>0.5</v>
      </c>
      <c r="AN40" s="170">
        <f>(F40+G40+J40+K40+L40+M40+N40+Q40+R40+S40+T40+U40+X40+Y40+Z40+AA40+AB40+AI40)/18</f>
        <v>0.36940586419753091</v>
      </c>
      <c r="AO40" s="128" t="e">
        <f>(F41+G41+J41+K41+L41+M41+N41+Q41+R41+S41+T41+U41+X41+Y41+AA41+AI41)/16</f>
        <v>#VALUE!</v>
      </c>
    </row>
    <row r="41" spans="1:41" ht="21.75" customHeight="1" thickBot="1" x14ac:dyDescent="0.45">
      <c r="A41" s="125"/>
      <c r="B41" s="119"/>
      <c r="C41" s="121"/>
      <c r="D41" s="31" t="s">
        <v>52</v>
      </c>
      <c r="E41" s="43" t="s">
        <v>580</v>
      </c>
      <c r="F41" s="32" t="s">
        <v>103</v>
      </c>
      <c r="G41" s="32" t="s">
        <v>85</v>
      </c>
      <c r="H41" s="32" t="s">
        <v>70</v>
      </c>
      <c r="I41" s="32" t="s">
        <v>70</v>
      </c>
      <c r="J41" s="32" t="s">
        <v>89</v>
      </c>
      <c r="K41" s="32" t="s">
        <v>85</v>
      </c>
      <c r="L41" s="32" t="s">
        <v>89</v>
      </c>
      <c r="M41" s="32" t="s">
        <v>91</v>
      </c>
      <c r="N41" s="32" t="s">
        <v>89</v>
      </c>
      <c r="O41" s="32" t="s">
        <v>70</v>
      </c>
      <c r="P41" s="32" t="s">
        <v>70</v>
      </c>
      <c r="Q41" s="32" t="s">
        <v>85</v>
      </c>
      <c r="R41" s="32" t="s">
        <v>102</v>
      </c>
      <c r="S41" s="32" t="s">
        <v>85</v>
      </c>
      <c r="T41" s="32" t="s">
        <v>101</v>
      </c>
      <c r="U41" s="63" t="s">
        <v>279</v>
      </c>
      <c r="V41" s="32" t="s">
        <v>70</v>
      </c>
      <c r="W41" s="32" t="s">
        <v>70</v>
      </c>
      <c r="X41" s="32" t="s">
        <v>101</v>
      </c>
      <c r="Y41" s="32" t="s">
        <v>80</v>
      </c>
      <c r="Z41" s="32" t="s">
        <v>241</v>
      </c>
      <c r="AA41" s="32" t="s">
        <v>80</v>
      </c>
      <c r="AB41" s="32" t="s">
        <v>252</v>
      </c>
      <c r="AC41" s="32" t="s">
        <v>70</v>
      </c>
      <c r="AD41" s="32" t="s">
        <v>70</v>
      </c>
      <c r="AE41" s="95" t="s">
        <v>579</v>
      </c>
      <c r="AF41" s="95" t="s">
        <v>579</v>
      </c>
      <c r="AG41" s="95" t="s">
        <v>579</v>
      </c>
      <c r="AH41" s="95" t="s">
        <v>579</v>
      </c>
      <c r="AI41" s="32" t="s">
        <v>103</v>
      </c>
      <c r="AJ41" s="122"/>
      <c r="AK41" s="167"/>
      <c r="AL41" s="144"/>
      <c r="AM41" s="173"/>
      <c r="AN41" s="171"/>
      <c r="AO41" s="129"/>
    </row>
    <row r="42" spans="1:41" x14ac:dyDescent="0.4">
      <c r="AM42" s="36">
        <f>SUM(AM4:AM41)</f>
        <v>11.5</v>
      </c>
    </row>
  </sheetData>
  <mergeCells count="176">
    <mergeCell ref="AO16:AO17"/>
    <mergeCell ref="AL22:AL23"/>
    <mergeCell ref="AM22:AM23"/>
    <mergeCell ref="AL26:AL27"/>
    <mergeCell ref="AM26:AM27"/>
    <mergeCell ref="AN22:AN23"/>
    <mergeCell ref="AO22:AO23"/>
    <mergeCell ref="AO40:AO41"/>
    <mergeCell ref="AN38:AN39"/>
    <mergeCell ref="AO38:AO39"/>
    <mergeCell ref="B40:B41"/>
    <mergeCell ref="C40:C41"/>
    <mergeCell ref="AJ40:AJ41"/>
    <mergeCell ref="AK40:AK41"/>
    <mergeCell ref="AL40:AL41"/>
    <mergeCell ref="AM40:AM41"/>
    <mergeCell ref="AN40:AN41"/>
    <mergeCell ref="B34:B35"/>
    <mergeCell ref="C34:C35"/>
    <mergeCell ref="AJ34:AJ35"/>
    <mergeCell ref="AK34:AK35"/>
    <mergeCell ref="AL34:AL35"/>
    <mergeCell ref="AM34:AM35"/>
    <mergeCell ref="AN34:AN35"/>
    <mergeCell ref="AO34:AO35"/>
    <mergeCell ref="B38:B39"/>
    <mergeCell ref="C38:C39"/>
    <mergeCell ref="AJ38:AJ39"/>
    <mergeCell ref="AK38:AK39"/>
    <mergeCell ref="AL38:AL39"/>
    <mergeCell ref="AM38:AM39"/>
    <mergeCell ref="AJ36:AJ37"/>
    <mergeCell ref="AK36:AK37"/>
    <mergeCell ref="AL36:AL37"/>
    <mergeCell ref="AM36:AM37"/>
    <mergeCell ref="AN36:AN37"/>
    <mergeCell ref="B36:B37"/>
    <mergeCell ref="C36:C37"/>
    <mergeCell ref="AM32:AM33"/>
    <mergeCell ref="AN32:AN33"/>
    <mergeCell ref="AO32:AO33"/>
    <mergeCell ref="B32:B33"/>
    <mergeCell ref="C32:C33"/>
    <mergeCell ref="AJ32:AJ33"/>
    <mergeCell ref="AK32:AK33"/>
    <mergeCell ref="AL32:AL33"/>
    <mergeCell ref="K32:K33"/>
    <mergeCell ref="B26:B27"/>
    <mergeCell ref="C26:C27"/>
    <mergeCell ref="B30:B31"/>
    <mergeCell ref="C30:C31"/>
    <mergeCell ref="AJ30:AJ31"/>
    <mergeCell ref="AK30:AK31"/>
    <mergeCell ref="AL30:AL31"/>
    <mergeCell ref="AM30:AM31"/>
    <mergeCell ref="F26:F27"/>
    <mergeCell ref="G26:G27"/>
    <mergeCell ref="AJ18:AJ19"/>
    <mergeCell ref="AK18:AK19"/>
    <mergeCell ref="AL18:AL19"/>
    <mergeCell ref="AM18:AM19"/>
    <mergeCell ref="AN30:AN31"/>
    <mergeCell ref="AO30:AO31"/>
    <mergeCell ref="AJ26:AJ27"/>
    <mergeCell ref="AK26:AK27"/>
    <mergeCell ref="AK24:AK25"/>
    <mergeCell ref="AL24:AL25"/>
    <mergeCell ref="AM24:AM25"/>
    <mergeCell ref="AN28:AN29"/>
    <mergeCell ref="AN24:AN25"/>
    <mergeCell ref="AO24:AO25"/>
    <mergeCell ref="AO26:AO27"/>
    <mergeCell ref="AK22:AK23"/>
    <mergeCell ref="AK28:AK29"/>
    <mergeCell ref="AL28:AL29"/>
    <mergeCell ref="AM28:AM29"/>
    <mergeCell ref="AN18:AN19"/>
    <mergeCell ref="AO18:AO19"/>
    <mergeCell ref="AN26:AN27"/>
    <mergeCell ref="AN20:AN21"/>
    <mergeCell ref="AO20:AO21"/>
    <mergeCell ref="AO2:AO3"/>
    <mergeCell ref="A4:A15"/>
    <mergeCell ref="B4:B5"/>
    <mergeCell ref="C4:C5"/>
    <mergeCell ref="AJ4:AJ5"/>
    <mergeCell ref="AK4:AK5"/>
    <mergeCell ref="AL4:AL5"/>
    <mergeCell ref="AM4:AM5"/>
    <mergeCell ref="AN4:AN5"/>
    <mergeCell ref="AO4:AO5"/>
    <mergeCell ref="B6:B7"/>
    <mergeCell ref="C6:C7"/>
    <mergeCell ref="AJ6:AJ7"/>
    <mergeCell ref="AK6:AK7"/>
    <mergeCell ref="AL6:AL7"/>
    <mergeCell ref="AM6:AM7"/>
    <mergeCell ref="AN6:AN7"/>
    <mergeCell ref="AO6:AO7"/>
    <mergeCell ref="B8:B9"/>
    <mergeCell ref="C8:C9"/>
    <mergeCell ref="B16:B17"/>
    <mergeCell ref="C16:C17"/>
    <mergeCell ref="AJ16:AJ17"/>
    <mergeCell ref="AA8:AA9"/>
    <mergeCell ref="AI10:AI11"/>
    <mergeCell ref="AK2:AK3"/>
    <mergeCell ref="AL2:AL3"/>
    <mergeCell ref="AM2:AM3"/>
    <mergeCell ref="AN2:AN3"/>
    <mergeCell ref="AK16:AK17"/>
    <mergeCell ref="AL16:AL17"/>
    <mergeCell ref="AM16:AM17"/>
    <mergeCell ref="AN16:AN17"/>
    <mergeCell ref="A1:C1"/>
    <mergeCell ref="D1:I1"/>
    <mergeCell ref="A2:A3"/>
    <mergeCell ref="B2:B3"/>
    <mergeCell ref="C2:C3"/>
    <mergeCell ref="AJ2:AJ3"/>
    <mergeCell ref="AJ8:AJ9"/>
    <mergeCell ref="B14:B15"/>
    <mergeCell ref="C14:C15"/>
    <mergeCell ref="AJ14:AJ15"/>
    <mergeCell ref="B12:B13"/>
    <mergeCell ref="C12:C13"/>
    <mergeCell ref="AJ12:AJ13"/>
    <mergeCell ref="B10:B11"/>
    <mergeCell ref="C10:C11"/>
    <mergeCell ref="AJ10:AJ11"/>
    <mergeCell ref="U6:U7"/>
    <mergeCell ref="U4:U5"/>
    <mergeCell ref="A18:A29"/>
    <mergeCell ref="B28:B29"/>
    <mergeCell ref="C28:C29"/>
    <mergeCell ref="AJ28:AJ29"/>
    <mergeCell ref="A30:A41"/>
    <mergeCell ref="AO36:AO37"/>
    <mergeCell ref="N38:N39"/>
    <mergeCell ref="Q38:Q39"/>
    <mergeCell ref="R38:R39"/>
    <mergeCell ref="B20:B21"/>
    <mergeCell ref="C20:C21"/>
    <mergeCell ref="AJ20:AJ21"/>
    <mergeCell ref="AK20:AK21"/>
    <mergeCell ref="AL20:AL21"/>
    <mergeCell ref="AM20:AM21"/>
    <mergeCell ref="B22:B23"/>
    <mergeCell ref="C22:C23"/>
    <mergeCell ref="AJ22:AJ23"/>
    <mergeCell ref="AO28:AO29"/>
    <mergeCell ref="B24:B25"/>
    <mergeCell ref="C24:C25"/>
    <mergeCell ref="AJ24:AJ25"/>
    <mergeCell ref="B18:B19"/>
    <mergeCell ref="C18:C19"/>
    <mergeCell ref="AM14:AM15"/>
    <mergeCell ref="AO8:AO9"/>
    <mergeCell ref="AK12:AK13"/>
    <mergeCell ref="AL12:AL13"/>
    <mergeCell ref="AM12:AM13"/>
    <mergeCell ref="AN14:AN15"/>
    <mergeCell ref="AO14:AO15"/>
    <mergeCell ref="AK10:AK11"/>
    <mergeCell ref="AL10:AL11"/>
    <mergeCell ref="AM10:AM11"/>
    <mergeCell ref="AN10:AN11"/>
    <mergeCell ref="AM8:AM9"/>
    <mergeCell ref="AN8:AN9"/>
    <mergeCell ref="AN12:AN13"/>
    <mergeCell ref="AO12:AO13"/>
    <mergeCell ref="AO10:AO11"/>
    <mergeCell ref="AK8:AK9"/>
    <mergeCell ref="AL8:AL9"/>
    <mergeCell ref="AK14:AK15"/>
    <mergeCell ref="AL14:AL15"/>
  </mergeCells>
  <phoneticPr fontId="5" type="noConversion"/>
  <conditionalFormatting sqref="E4:E41">
    <cfRule type="expression" dxfId="946" priority="48">
      <formula>OR(WEEKDAY(E$3)=7,WEEKDAY(E$3)=1)</formula>
    </cfRule>
  </conditionalFormatting>
  <conditionalFormatting sqref="E26:E27 E28:T29">
    <cfRule type="expression" dxfId="945" priority="97">
      <formula>OR(WEEKDAY(E$3)=7,WEEKDAY(E$3)=1)</formula>
    </cfRule>
  </conditionalFormatting>
  <conditionalFormatting sqref="E31:E37">
    <cfRule type="expression" dxfId="944" priority="33">
      <formula>OR(WEEKDAY(E$3)=7,WEEKDAY(E$3)=1)</formula>
    </cfRule>
  </conditionalFormatting>
  <conditionalFormatting sqref="E20:F25">
    <cfRule type="expression" dxfId="943" priority="66">
      <formula>OR(WEEKDAY(E$3)=7,WEEKDAY(E$3)=1)</formula>
    </cfRule>
  </conditionalFormatting>
  <conditionalFormatting sqref="E32:I32 E33:J33 E38:M41">
    <cfRule type="expression" dxfId="942" priority="285">
      <formula>OR(WEEKDAY(E$3)=7,WEEKDAY(E$3)=1)</formula>
    </cfRule>
  </conditionalFormatting>
  <conditionalFormatting sqref="E18:AD19">
    <cfRule type="expression" dxfId="941" priority="200">
      <formula>OR(WEEKDAY(E$3)=7,WEEKDAY(E$3)=1)</formula>
    </cfRule>
  </conditionalFormatting>
  <conditionalFormatting sqref="E2:AI3 E30:J30">
    <cfRule type="expression" dxfId="940" priority="308">
      <formula>OR(WEEKDAY(E$3)=7,WEEKDAY(E$3)=1)</formula>
    </cfRule>
  </conditionalFormatting>
  <conditionalFormatting sqref="E3:AI3">
    <cfRule type="expression" dxfId="939" priority="311">
      <formula>WEEKDAY(E3)=7</formula>
    </cfRule>
    <cfRule type="expression" dxfId="938" priority="310">
      <formula>WEEKDAY(E3)=1</formula>
    </cfRule>
  </conditionalFormatting>
  <conditionalFormatting sqref="F26">
    <cfRule type="expression" dxfId="937" priority="56">
      <formula>OR(WEEKDAY(F$3)=7,WEEKDAY(F$3)=1)</formula>
    </cfRule>
  </conditionalFormatting>
  <conditionalFormatting sqref="F31:F32">
    <cfRule type="expression" dxfId="936" priority="283">
      <formula>OR(WEEKDAY(F$3)=7,WEEKDAY(F$3)=1)</formula>
    </cfRule>
  </conditionalFormatting>
  <conditionalFormatting sqref="F7:I10">
    <cfRule type="expression" dxfId="935" priority="58">
      <formula>OR(WEEKDAY(F$3)=7,WEEKDAY(F$3)=1)</formula>
    </cfRule>
  </conditionalFormatting>
  <conditionalFormatting sqref="F37:I37 K37:L37">
    <cfRule type="expression" dxfId="934" priority="32">
      <formula>OR(WEEKDAY(F$3)=7,WEEKDAY(F$3)=1)</formula>
    </cfRule>
  </conditionalFormatting>
  <conditionalFormatting sqref="F34:M36">
    <cfRule type="expression" dxfId="933" priority="15">
      <formula>OR(WEEKDAY(F$3)=7,WEEKDAY(F$3)=1)</formula>
    </cfRule>
  </conditionalFormatting>
  <conditionalFormatting sqref="F6:S6">
    <cfRule type="expression" dxfId="932" priority="82">
      <formula>OR(WEEKDAY(F$3)=7,WEEKDAY(F$3)=1)</formula>
    </cfRule>
  </conditionalFormatting>
  <conditionalFormatting sqref="F12:S15">
    <cfRule type="expression" dxfId="931" priority="121">
      <formula>OR(WEEKDAY(F$3)=7,WEEKDAY(F$3)=1)</formula>
    </cfRule>
  </conditionalFormatting>
  <conditionalFormatting sqref="F5:T5">
    <cfRule type="expression" dxfId="930" priority="26">
      <formula>OR(WEEKDAY(F$3)=7,WEEKDAY(F$3)=1)</formula>
    </cfRule>
  </conditionalFormatting>
  <conditionalFormatting sqref="F4:U4">
    <cfRule type="expression" dxfId="929" priority="44">
      <formula>OR(WEEKDAY(F$3)=7,WEEKDAY(F$3)=1)</formula>
    </cfRule>
  </conditionalFormatting>
  <conditionalFormatting sqref="F16:W17 K30:AD31 L32:AD33">
    <cfRule type="expression" dxfId="928" priority="231">
      <formula>OR(WEEKDAY(F$3)=7,WEEKDAY(F$3)=1)</formula>
    </cfRule>
  </conditionalFormatting>
  <conditionalFormatting sqref="G24:G26">
    <cfRule type="expression" dxfId="927" priority="23">
      <formula>OR(WEEKDAY(G$3)=7,WEEKDAY(G$3)=1)</formula>
    </cfRule>
  </conditionalFormatting>
  <conditionalFormatting sqref="G31:I31">
    <cfRule type="expression" dxfId="926" priority="286">
      <formula>OR(WEEKDAY(G$3)=7,WEEKDAY(G$3)=1)</formula>
    </cfRule>
  </conditionalFormatting>
  <conditionalFormatting sqref="G20:J21">
    <cfRule type="expression" dxfId="925" priority="221">
      <formula>OR(WEEKDAY(G$3)=7,WEEKDAY(G$3)=1)</formula>
    </cfRule>
  </conditionalFormatting>
  <conditionalFormatting sqref="G22:R23">
    <cfRule type="expression" dxfId="924" priority="67">
      <formula>OR(WEEKDAY(G$3)=7,WEEKDAY(G$3)=1)</formula>
    </cfRule>
  </conditionalFormatting>
  <conditionalFormatting sqref="H24:K25">
    <cfRule type="expression" dxfId="923" priority="198">
      <formula>OR(WEEKDAY(H$3)=7,WEEKDAY(H$3)=1)</formula>
    </cfRule>
  </conditionalFormatting>
  <conditionalFormatting sqref="H26:P27">
    <cfRule type="expression" dxfId="922" priority="102">
      <formula>OR(WEEKDAY(H$3)=7,WEEKDAY(H$3)=1)</formula>
    </cfRule>
  </conditionalFormatting>
  <conditionalFormatting sqref="J31:J32">
    <cfRule type="expression" dxfId="921" priority="197">
      <formula>OR(WEEKDAY(J$3)=7,WEEKDAY(J$3)=1)</formula>
    </cfRule>
  </conditionalFormatting>
  <conditionalFormatting sqref="J10:N10 F11:N11">
    <cfRule type="expression" dxfId="920" priority="86">
      <formula>OR(WEEKDAY(F$3)=7,WEEKDAY(F$3)=1)</formula>
    </cfRule>
  </conditionalFormatting>
  <conditionalFormatting sqref="J7:S9">
    <cfRule type="expression" dxfId="919" priority="83">
      <formula>OR(WEEKDAY(J$3)=7,WEEKDAY(J$3)=1)</formula>
    </cfRule>
  </conditionalFormatting>
  <conditionalFormatting sqref="K32">
    <cfRule type="expression" dxfId="918" priority="34">
      <formula>OR(WEEKDAY(K$3)=7,WEEKDAY(K$3)=1)</formula>
    </cfRule>
  </conditionalFormatting>
  <conditionalFormatting sqref="K21:S21">
    <cfRule type="expression" dxfId="917" priority="24">
      <formula>OR(WEEKDAY(K$3)=7,WEEKDAY(K$3)=1)</formula>
    </cfRule>
  </conditionalFormatting>
  <conditionalFormatting sqref="K20:V20">
    <cfRule type="expression" dxfId="916" priority="280">
      <formula>OR(WEEKDAY(K$3)=7,WEEKDAY(K$3)=1)</formula>
    </cfRule>
  </conditionalFormatting>
  <conditionalFormatting sqref="L24">
    <cfRule type="expression" dxfId="915" priority="96">
      <formula>OR(WEEKDAY(L$3)=7,WEEKDAY(L$3)=1)</formula>
    </cfRule>
  </conditionalFormatting>
  <conditionalFormatting sqref="M24:P25">
    <cfRule type="expression" dxfId="914" priority="25">
      <formula>OR(WEEKDAY(M$3)=7,WEEKDAY(M$3)=1)</formula>
    </cfRule>
  </conditionalFormatting>
  <conditionalFormatting sqref="N38">
    <cfRule type="expression" dxfId="913" priority="18">
      <formula>OR(WEEKDAY(N$3)=7,WEEKDAY(N$3)=1)</formula>
    </cfRule>
  </conditionalFormatting>
  <conditionalFormatting sqref="N40:N41">
    <cfRule type="expression" dxfId="912" priority="40">
      <formula>OR(WEEKDAY(N$3)=7,WEEKDAY(N$3)=1)</formula>
    </cfRule>
  </conditionalFormatting>
  <conditionalFormatting sqref="N40:AD40">
    <cfRule type="expression" dxfId="911" priority="99">
      <formula>OR(WEEKDAY(N$3)=7,WEEKDAY(N$3)=1)</formula>
    </cfRule>
  </conditionalFormatting>
  <conditionalFormatting sqref="O34:P39">
    <cfRule type="expression" dxfId="910" priority="31">
      <formula>OR(WEEKDAY(O$3)=7,WEEKDAY(O$3)=1)</formula>
    </cfRule>
  </conditionalFormatting>
  <conditionalFormatting sqref="O10:S11">
    <cfRule type="expression" dxfId="909" priority="87">
      <formula>OR(WEEKDAY(O$3)=7,WEEKDAY(O$3)=1)</formula>
    </cfRule>
  </conditionalFormatting>
  <conditionalFormatting sqref="O41:AD41">
    <cfRule type="expression" dxfId="908" priority="1">
      <formula>OR(WEEKDAY(O$3)=7,WEEKDAY(O$3)=1)</formula>
    </cfRule>
  </conditionalFormatting>
  <conditionalFormatting sqref="Q24:R27">
    <cfRule type="expression" dxfId="907" priority="21">
      <formula>OR(WEEKDAY(Q$3)=7,WEEKDAY(Q$3)=1)</formula>
    </cfRule>
  </conditionalFormatting>
  <conditionalFormatting sqref="Q38:R38">
    <cfRule type="expression" dxfId="906" priority="16">
      <formula>OR(WEEKDAY(Q$3)=7,WEEKDAY(Q$3)=1)</formula>
    </cfRule>
  </conditionalFormatting>
  <conditionalFormatting sqref="S22:U22">
    <cfRule type="expression" dxfId="905" priority="72">
      <formula>OR(WEEKDAY(S$3)=7,WEEKDAY(S$3)=1)</formula>
    </cfRule>
  </conditionalFormatting>
  <conditionalFormatting sqref="S26:U26">
    <cfRule type="expression" dxfId="904" priority="136">
      <formula>OR(WEEKDAY(S$3)=7,WEEKDAY(S$3)=1)</formula>
    </cfRule>
  </conditionalFormatting>
  <conditionalFormatting sqref="S38:AD39 AI38:AI41">
    <cfRule type="expression" dxfId="903" priority="115">
      <formula>OR(WEEKDAY(S$3)=7,WEEKDAY(S$3)=1)</formula>
    </cfRule>
  </conditionalFormatting>
  <conditionalFormatting sqref="T20:T21">
    <cfRule type="expression" dxfId="902" priority="134">
      <formula>OR(WEEKDAY(T$3)=7,WEEKDAY(T$3)=1)</formula>
    </cfRule>
  </conditionalFormatting>
  <conditionalFormatting sqref="T27">
    <cfRule type="expression" dxfId="901" priority="218">
      <formula>OR(WEEKDAY(T$3)=7,WEEKDAY(T$3)=1)</formula>
    </cfRule>
  </conditionalFormatting>
  <conditionalFormatting sqref="T23:U25">
    <cfRule type="expression" dxfId="900" priority="76">
      <formula>OR(WEEKDAY(T$3)=7,WEEKDAY(T$3)=1)</formula>
    </cfRule>
  </conditionalFormatting>
  <conditionalFormatting sqref="T8:W15">
    <cfRule type="expression" dxfId="899" priority="4">
      <formula>OR(WEEKDAY(T$3)=7,WEEKDAY(T$3)=1)</formula>
    </cfRule>
  </conditionalFormatting>
  <conditionalFormatting sqref="U6">
    <cfRule type="expression" dxfId="898" priority="47">
      <formula>OR(WEEKDAY(U$3)=7,WEEKDAY(U$3)=1)</formula>
    </cfRule>
  </conditionalFormatting>
  <conditionalFormatting sqref="U21">
    <cfRule type="expression" dxfId="897" priority="264">
      <formula>OR(WEEKDAY(U$3)=7,WEEKDAY(U$3)=1)</formula>
    </cfRule>
  </conditionalFormatting>
  <conditionalFormatting sqref="U27:U29">
    <cfRule type="expression" dxfId="896" priority="303">
      <formula>OR(WEEKDAY(U$3)=7,WEEKDAY(U$3)=1)</formula>
    </cfRule>
  </conditionalFormatting>
  <conditionalFormatting sqref="V22:V23">
    <cfRule type="expression" dxfId="895" priority="75">
      <formula>OR(WEEKDAY(V$3)=7,WEEKDAY(V$3)=1)</formula>
    </cfRule>
  </conditionalFormatting>
  <conditionalFormatting sqref="V4:W7 T6:T7">
    <cfRule type="expression" dxfId="894" priority="81">
      <formula>OR(WEEKDAY(T$3)=7,WEEKDAY(T$3)=1)</formula>
    </cfRule>
  </conditionalFormatting>
  <conditionalFormatting sqref="V34:W37">
    <cfRule type="expression" dxfId="893" priority="30">
      <formula>OR(WEEKDAY(V$3)=7,WEEKDAY(V$3)=1)</formula>
    </cfRule>
  </conditionalFormatting>
  <conditionalFormatting sqref="V24:Y25">
    <cfRule type="expression" dxfId="892" priority="149">
      <formula>OR(WEEKDAY(V$3)=7,WEEKDAY(V$3)=1)</formula>
    </cfRule>
  </conditionalFormatting>
  <conditionalFormatting sqref="V26:Z27">
    <cfRule type="expression" dxfId="891" priority="19">
      <formula>OR(WEEKDAY(V$3)=7,WEEKDAY(V$3)=1)</formula>
    </cfRule>
  </conditionalFormatting>
  <conditionalFormatting sqref="V20:AA21">
    <cfRule type="expression" dxfId="890" priority="132">
      <formula>OR(WEEKDAY(V$3)=7,WEEKDAY(V$3)=1)</formula>
    </cfRule>
  </conditionalFormatting>
  <conditionalFormatting sqref="V28:AD29">
    <cfRule type="expression" dxfId="889" priority="147">
      <formula>OR(WEEKDAY(V$3)=7,WEEKDAY(V$3)=1)</formula>
    </cfRule>
  </conditionalFormatting>
  <conditionalFormatting sqref="W22:AA22">
    <cfRule type="expression" dxfId="888" priority="77">
      <formula>OR(WEEKDAY(W$3)=7,WEEKDAY(W$3)=1)</formula>
    </cfRule>
  </conditionalFormatting>
  <conditionalFormatting sqref="W23:AB23">
    <cfRule type="expression" dxfId="887" priority="13">
      <formula>OR(WEEKDAY(W$3)=7,WEEKDAY(W$3)=1)</formula>
    </cfRule>
  </conditionalFormatting>
  <conditionalFormatting sqref="X4:Y17">
    <cfRule type="expression" dxfId="886" priority="11">
      <formula>OR(WEEKDAY(X$3)=7,WEEKDAY(X$3)=1)</formula>
    </cfRule>
  </conditionalFormatting>
  <conditionalFormatting sqref="Y40">
    <cfRule type="expression" dxfId="885" priority="313">
      <formula>OR(WEEKDAY(#REF!)=7,WEEKDAY(#REF!)=1)</formula>
    </cfRule>
  </conditionalFormatting>
  <conditionalFormatting sqref="Z4:Z15">
    <cfRule type="expression" dxfId="884" priority="80">
      <formula>OR(WEEKDAY(Z$3)=7,WEEKDAY(Z$3)=1)</formula>
    </cfRule>
  </conditionalFormatting>
  <conditionalFormatting sqref="Z17:AD17">
    <cfRule type="expression" dxfId="883" priority="167">
      <formula>OR(WEEKDAY(Z$3)=7,WEEKDAY(Z$3)=1)</formula>
    </cfRule>
  </conditionalFormatting>
  <conditionalFormatting sqref="AA24:AB27">
    <cfRule type="expression" dxfId="882" priority="130">
      <formula>OR(WEEKDAY(AA$3)=7,WEEKDAY(AA$3)=1)</formula>
    </cfRule>
  </conditionalFormatting>
  <conditionalFormatting sqref="AA5:AD8">
    <cfRule type="expression" dxfId="881" priority="2">
      <formula>OR(WEEKDAY(AA$3)=7,WEEKDAY(AA$3)=1)</formula>
    </cfRule>
  </conditionalFormatting>
  <conditionalFormatting sqref="AA10:AD16">
    <cfRule type="expression" dxfId="880" priority="7">
      <formula>OR(WEEKDAY(AA$3)=7,WEEKDAY(AA$3)=1)</formula>
    </cfRule>
  </conditionalFormatting>
  <conditionalFormatting sqref="AA4:AE4 AB9:AD9">
    <cfRule type="expression" dxfId="879" priority="109">
      <formula>OR(WEEKDAY(AA$3)=7,WEEKDAY(AA$3)=1)</formula>
    </cfRule>
  </conditionalFormatting>
  <conditionalFormatting sqref="AB20:AB22">
    <cfRule type="expression" dxfId="878" priority="71">
      <formula>OR(WEEKDAY(AB$3)=7,WEEKDAY(AB$3)=1)</formula>
    </cfRule>
  </conditionalFormatting>
  <conditionalFormatting sqref="AC20:AD27">
    <cfRule type="expression" dxfId="877" priority="62">
      <formula>OR(WEEKDAY(AC$3)=7,WEEKDAY(AC$3)=1)</formula>
    </cfRule>
  </conditionalFormatting>
  <conditionalFormatting sqref="AC34:AD37">
    <cfRule type="expression" dxfId="876" priority="29">
      <formula>OR(WEEKDAY(AC$3)=7,WEEKDAY(AC$3)=1)</formula>
    </cfRule>
  </conditionalFormatting>
  <conditionalFormatting sqref="AE18">
    <cfRule type="expression" dxfId="875" priority="36">
      <formula>OR(WEEKDAY(AE$3)=7,WEEKDAY(AE$3)=1)</formula>
    </cfRule>
  </conditionalFormatting>
  <conditionalFormatting sqref="AE30">
    <cfRule type="expression" dxfId="874" priority="35">
      <formula>OR(WEEKDAY(AE$3)=7,WEEKDAY(AE$3)=1)</formula>
    </cfRule>
  </conditionalFormatting>
  <conditionalFormatting sqref="AI4:AI10">
    <cfRule type="expression" dxfId="873" priority="57">
      <formula>OR(WEEKDAY(AI$3)=7,WEEKDAY(AI$3)=1)</formula>
    </cfRule>
  </conditionalFormatting>
  <conditionalFormatting sqref="AI12:AI36">
    <cfRule type="expression" dxfId="872" priority="10">
      <formula>OR(WEEKDAY(AI$3)=7,WEEKDAY(AI$3)=1)</formula>
    </cfRule>
  </conditionalFormatting>
  <pageMargins left="0.25" right="0.25" top="0.75" bottom="0.75" header="0.3" footer="0.3"/>
  <pageSetup paperSize="9" scale="49" fitToHeight="0" orientation="landscape" cellComments="asDisplayed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DAD6-44AF-46A1-BB10-679B124D4930}">
  <sheetPr>
    <pageSetUpPr fitToPage="1"/>
  </sheetPr>
  <dimension ref="A1:BM42"/>
  <sheetViews>
    <sheetView topLeftCell="B1" zoomScale="85" zoomScaleNormal="85" workbookViewId="0">
      <pane xSplit="2" ySplit="2" topLeftCell="D3" activePane="bottomRight" state="frozen"/>
      <selection activeCell="B1" sqref="B1"/>
      <selection pane="topRight" activeCell="D1" sqref="D1"/>
      <selection pane="bottomLeft" activeCell="B3" sqref="B3"/>
      <selection pane="bottomRight" activeCell="J23" sqref="J23"/>
    </sheetView>
  </sheetViews>
  <sheetFormatPr defaultColWidth="9" defaultRowHeight="15.6" x14ac:dyDescent="0.4"/>
  <cols>
    <col min="1" max="1" width="17.19921875" style="27" customWidth="1"/>
    <col min="2" max="2" width="5.8984375" style="27" customWidth="1"/>
    <col min="3" max="3" width="13" style="35" customWidth="1"/>
    <col min="4" max="4" width="7.3984375" style="35" customWidth="1"/>
    <col min="5" max="32" width="5.3984375" style="27" customWidth="1"/>
    <col min="33" max="35" width="9" style="27" customWidth="1"/>
    <col min="36" max="36" width="9.59765625" style="36" customWidth="1"/>
    <col min="37" max="16384" width="9" style="27"/>
  </cols>
  <sheetData>
    <row r="1" spans="1:65" s="15" customFormat="1" ht="36.75" customHeight="1" thickBot="1" x14ac:dyDescent="0.45">
      <c r="A1" s="130">
        <v>45078</v>
      </c>
      <c r="B1" s="130"/>
      <c r="C1" s="131"/>
      <c r="D1" s="132">
        <v>45689</v>
      </c>
      <c r="E1" s="133"/>
      <c r="F1" s="133"/>
      <c r="G1" s="133"/>
      <c r="H1" s="133"/>
      <c r="I1" s="13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J1" s="16"/>
    </row>
    <row r="2" spans="1:65" s="23" customFormat="1" ht="21.75" customHeight="1" x14ac:dyDescent="0.4">
      <c r="A2" s="192" t="s">
        <v>37</v>
      </c>
      <c r="B2" s="135" t="s">
        <v>38</v>
      </c>
      <c r="C2" s="139" t="s">
        <v>39</v>
      </c>
      <c r="D2" s="64" t="s">
        <v>40</v>
      </c>
      <c r="E2" s="18">
        <f>D1</f>
        <v>45689</v>
      </c>
      <c r="F2" s="19">
        <f>E2+1</f>
        <v>45690</v>
      </c>
      <c r="G2" s="19">
        <f t="shared" ref="G2:AF2" si="0">F2+1</f>
        <v>45691</v>
      </c>
      <c r="H2" s="19">
        <f t="shared" si="0"/>
        <v>45692</v>
      </c>
      <c r="I2" s="19">
        <f t="shared" si="0"/>
        <v>45693</v>
      </c>
      <c r="J2" s="19">
        <f t="shared" si="0"/>
        <v>45694</v>
      </c>
      <c r="K2" s="19">
        <f t="shared" si="0"/>
        <v>45695</v>
      </c>
      <c r="L2" s="19">
        <f t="shared" si="0"/>
        <v>45696</v>
      </c>
      <c r="M2" s="19">
        <f t="shared" si="0"/>
        <v>45697</v>
      </c>
      <c r="N2" s="19">
        <f t="shared" si="0"/>
        <v>45698</v>
      </c>
      <c r="O2" s="19">
        <f t="shared" si="0"/>
        <v>45699</v>
      </c>
      <c r="P2" s="19">
        <f t="shared" si="0"/>
        <v>45700</v>
      </c>
      <c r="Q2" s="19">
        <f t="shared" si="0"/>
        <v>45701</v>
      </c>
      <c r="R2" s="19">
        <f t="shared" si="0"/>
        <v>45702</v>
      </c>
      <c r="S2" s="18">
        <f t="shared" si="0"/>
        <v>45703</v>
      </c>
      <c r="T2" s="19">
        <f t="shared" si="0"/>
        <v>45704</v>
      </c>
      <c r="U2" s="19">
        <f t="shared" si="0"/>
        <v>45705</v>
      </c>
      <c r="V2" s="19">
        <f t="shared" si="0"/>
        <v>45706</v>
      </c>
      <c r="W2" s="19">
        <f t="shared" si="0"/>
        <v>45707</v>
      </c>
      <c r="X2" s="19">
        <f t="shared" si="0"/>
        <v>45708</v>
      </c>
      <c r="Y2" s="19">
        <f t="shared" si="0"/>
        <v>45709</v>
      </c>
      <c r="Z2" s="19">
        <f t="shared" si="0"/>
        <v>45710</v>
      </c>
      <c r="AA2" s="20">
        <f t="shared" si="0"/>
        <v>45711</v>
      </c>
      <c r="AB2" s="20">
        <f t="shared" si="0"/>
        <v>45712</v>
      </c>
      <c r="AC2" s="18">
        <f>AB2+1</f>
        <v>45713</v>
      </c>
      <c r="AD2" s="19">
        <f t="shared" si="0"/>
        <v>45714</v>
      </c>
      <c r="AE2" s="19">
        <f t="shared" si="0"/>
        <v>45715</v>
      </c>
      <c r="AF2" s="19">
        <f t="shared" si="0"/>
        <v>45716</v>
      </c>
      <c r="AG2" s="141" t="s">
        <v>41</v>
      </c>
      <c r="AH2" s="145" t="s">
        <v>42</v>
      </c>
      <c r="AI2" s="147" t="s">
        <v>43</v>
      </c>
      <c r="AJ2" s="149" t="s">
        <v>44</v>
      </c>
      <c r="AK2" s="151" t="s">
        <v>45</v>
      </c>
      <c r="AL2" s="153" t="s">
        <v>46</v>
      </c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</row>
    <row r="3" spans="1:65" s="24" customFormat="1" ht="18" thickBot="1" x14ac:dyDescent="0.45">
      <c r="A3" s="193"/>
      <c r="B3" s="136"/>
      <c r="C3" s="140"/>
      <c r="D3" s="65" t="s">
        <v>47</v>
      </c>
      <c r="E3" s="39">
        <f>E2</f>
        <v>45689</v>
      </c>
      <c r="F3" s="40">
        <f t="shared" ref="F3:AF3" si="1">F2</f>
        <v>45690</v>
      </c>
      <c r="G3" s="40">
        <f t="shared" si="1"/>
        <v>45691</v>
      </c>
      <c r="H3" s="40">
        <f t="shared" si="1"/>
        <v>45692</v>
      </c>
      <c r="I3" s="40">
        <f t="shared" si="1"/>
        <v>45693</v>
      </c>
      <c r="J3" s="40">
        <f t="shared" si="1"/>
        <v>45694</v>
      </c>
      <c r="K3" s="40">
        <f t="shared" si="1"/>
        <v>45695</v>
      </c>
      <c r="L3" s="40">
        <f t="shared" si="1"/>
        <v>45696</v>
      </c>
      <c r="M3" s="40">
        <f t="shared" si="1"/>
        <v>45697</v>
      </c>
      <c r="N3" s="40">
        <f t="shared" si="1"/>
        <v>45698</v>
      </c>
      <c r="O3" s="40">
        <f t="shared" si="1"/>
        <v>45699</v>
      </c>
      <c r="P3" s="40">
        <f t="shared" si="1"/>
        <v>45700</v>
      </c>
      <c r="Q3" s="40">
        <f t="shared" si="1"/>
        <v>45701</v>
      </c>
      <c r="R3" s="40">
        <f t="shared" si="1"/>
        <v>45702</v>
      </c>
      <c r="S3" s="39">
        <f t="shared" si="1"/>
        <v>45703</v>
      </c>
      <c r="T3" s="40">
        <f t="shared" si="1"/>
        <v>45704</v>
      </c>
      <c r="U3" s="40">
        <f t="shared" si="1"/>
        <v>45705</v>
      </c>
      <c r="V3" s="40">
        <f t="shared" si="1"/>
        <v>45706</v>
      </c>
      <c r="W3" s="40">
        <f t="shared" si="1"/>
        <v>45707</v>
      </c>
      <c r="X3" s="40">
        <f t="shared" si="1"/>
        <v>45708</v>
      </c>
      <c r="Y3" s="40">
        <f t="shared" si="1"/>
        <v>45709</v>
      </c>
      <c r="Z3" s="40">
        <f t="shared" si="1"/>
        <v>45710</v>
      </c>
      <c r="AA3" s="40">
        <f t="shared" si="1"/>
        <v>45711</v>
      </c>
      <c r="AB3" s="40">
        <f t="shared" si="1"/>
        <v>45712</v>
      </c>
      <c r="AC3" s="40">
        <f t="shared" si="1"/>
        <v>45713</v>
      </c>
      <c r="AD3" s="40">
        <f t="shared" si="1"/>
        <v>45714</v>
      </c>
      <c r="AE3" s="40">
        <f t="shared" si="1"/>
        <v>45715</v>
      </c>
      <c r="AF3" s="40">
        <f t="shared" si="1"/>
        <v>45716</v>
      </c>
      <c r="AG3" s="142"/>
      <c r="AH3" s="146"/>
      <c r="AI3" s="148"/>
      <c r="AJ3" s="150"/>
      <c r="AK3" s="152"/>
      <c r="AL3" s="154"/>
    </row>
    <row r="4" spans="1:65" ht="21.75" customHeight="1" thickBot="1" x14ac:dyDescent="0.45">
      <c r="A4" s="155" t="s">
        <v>48</v>
      </c>
      <c r="B4" s="190" t="s">
        <v>67</v>
      </c>
      <c r="C4" s="159" t="s">
        <v>50</v>
      </c>
      <c r="D4" s="33" t="s">
        <v>51</v>
      </c>
      <c r="E4" s="43"/>
      <c r="F4" s="34"/>
      <c r="G4" s="34" t="s">
        <v>233</v>
      </c>
      <c r="H4" s="34" t="s">
        <v>94</v>
      </c>
      <c r="I4" s="34" t="s">
        <v>211</v>
      </c>
      <c r="J4" s="34" t="s">
        <v>315</v>
      </c>
      <c r="K4" s="34" t="s">
        <v>211</v>
      </c>
      <c r="L4" s="43"/>
      <c r="M4" s="34"/>
      <c r="N4" s="34" t="s">
        <v>221</v>
      </c>
      <c r="O4" s="34" t="s">
        <v>316</v>
      </c>
      <c r="P4" s="34" t="s">
        <v>213</v>
      </c>
      <c r="Q4" s="34" t="s">
        <v>317</v>
      </c>
      <c r="R4" s="34" t="s">
        <v>318</v>
      </c>
      <c r="S4" s="43"/>
      <c r="T4" s="34"/>
      <c r="U4" s="34" t="s">
        <v>319</v>
      </c>
      <c r="V4" s="34" t="s">
        <v>319</v>
      </c>
      <c r="W4" s="34" t="s">
        <v>320</v>
      </c>
      <c r="X4" s="34" t="s">
        <v>321</v>
      </c>
      <c r="Y4" s="34" t="s">
        <v>223</v>
      </c>
      <c r="Z4" s="43"/>
      <c r="AA4" s="34"/>
      <c r="AB4" s="34" t="s">
        <v>233</v>
      </c>
      <c r="AC4" s="34" t="s">
        <v>322</v>
      </c>
      <c r="AD4" s="34" t="s">
        <v>323</v>
      </c>
      <c r="AE4" s="34" t="s">
        <v>324</v>
      </c>
      <c r="AF4" s="34" t="s">
        <v>325</v>
      </c>
      <c r="AG4" s="160" t="s">
        <v>353</v>
      </c>
      <c r="AH4" s="161"/>
      <c r="AI4" s="163"/>
      <c r="AJ4" s="109"/>
      <c r="AK4" s="183">
        <f>(G4+H4+I4+J4+K4+N4+O4+P4+Q4+R4+U4+V4+W4+Y4+AB4+AC4+AD4+AE4+AF4)/19</f>
        <v>0.30244883040935672</v>
      </c>
      <c r="AL4" s="105">
        <f>(G5+H5+I5+J5+K5+N5+O5+P5+Q5+R5+U5+V5+X5+Y5+AB5+AC5+AD5+AE5+AF5)/19</f>
        <v>0.78541666666666676</v>
      </c>
      <c r="AN4" s="24"/>
    </row>
    <row r="5" spans="1:65" ht="21.75" customHeight="1" thickTop="1" thickBot="1" x14ac:dyDescent="0.45">
      <c r="A5" s="156"/>
      <c r="B5" s="186"/>
      <c r="C5" s="120"/>
      <c r="D5" s="25" t="s">
        <v>52</v>
      </c>
      <c r="E5" s="44"/>
      <c r="F5" s="26"/>
      <c r="G5" s="26" t="s">
        <v>154</v>
      </c>
      <c r="H5" s="26" t="s">
        <v>87</v>
      </c>
      <c r="I5" s="26" t="s">
        <v>103</v>
      </c>
      <c r="J5" s="26" t="s">
        <v>89</v>
      </c>
      <c r="K5" s="26" t="s">
        <v>158</v>
      </c>
      <c r="L5" s="44"/>
      <c r="M5" s="26"/>
      <c r="N5" s="26" t="s">
        <v>146</v>
      </c>
      <c r="O5" s="26" t="s">
        <v>87</v>
      </c>
      <c r="P5" s="26" t="s">
        <v>86</v>
      </c>
      <c r="Q5" s="26" t="s">
        <v>116</v>
      </c>
      <c r="R5" s="26" t="s">
        <v>150</v>
      </c>
      <c r="S5" s="44"/>
      <c r="T5" s="26"/>
      <c r="U5" s="26" t="s">
        <v>326</v>
      </c>
      <c r="V5" s="26" t="s">
        <v>166</v>
      </c>
      <c r="W5" s="26" t="s">
        <v>80</v>
      </c>
      <c r="X5" s="26" t="s">
        <v>147</v>
      </c>
      <c r="Y5" s="26" t="s">
        <v>308</v>
      </c>
      <c r="Z5" s="44"/>
      <c r="AA5" s="26"/>
      <c r="AB5" s="26" t="s">
        <v>81</v>
      </c>
      <c r="AC5" s="26" t="s">
        <v>103</v>
      </c>
      <c r="AD5" s="26" t="s">
        <v>80</v>
      </c>
      <c r="AE5" s="26" t="s">
        <v>116</v>
      </c>
      <c r="AF5" s="26" t="s">
        <v>153</v>
      </c>
      <c r="AG5" s="127"/>
      <c r="AH5" s="162"/>
      <c r="AI5" s="108"/>
      <c r="AJ5" s="110"/>
      <c r="AK5" s="111"/>
      <c r="AL5" s="181"/>
      <c r="AM5" s="28"/>
    </row>
    <row r="6" spans="1:65" ht="21.75" customHeight="1" thickTop="1" thickBot="1" x14ac:dyDescent="0.45">
      <c r="A6" s="156"/>
      <c r="B6" s="186" t="s">
        <v>53</v>
      </c>
      <c r="C6" s="120" t="s">
        <v>54</v>
      </c>
      <c r="D6" s="25" t="s">
        <v>51</v>
      </c>
      <c r="E6" s="44"/>
      <c r="F6" s="26"/>
      <c r="G6" s="26" t="s">
        <v>156</v>
      </c>
      <c r="H6" s="26" t="s">
        <v>120</v>
      </c>
      <c r="I6" s="26" t="s">
        <v>72</v>
      </c>
      <c r="J6" s="26" t="s">
        <v>160</v>
      </c>
      <c r="K6" s="29" t="s">
        <v>288</v>
      </c>
      <c r="L6" s="44"/>
      <c r="M6" s="26"/>
      <c r="N6" s="26" t="s">
        <v>75</v>
      </c>
      <c r="O6" s="26" t="s">
        <v>121</v>
      </c>
      <c r="P6" s="126" t="s">
        <v>176</v>
      </c>
      <c r="Q6" s="26" t="s">
        <v>120</v>
      </c>
      <c r="R6" s="26" t="s">
        <v>94</v>
      </c>
      <c r="S6" s="44"/>
      <c r="T6" s="26"/>
      <c r="U6" s="26" t="s">
        <v>120</v>
      </c>
      <c r="V6" s="26" t="s">
        <v>156</v>
      </c>
      <c r="W6" s="26" t="s">
        <v>71</v>
      </c>
      <c r="X6" s="26" t="s">
        <v>68</v>
      </c>
      <c r="Y6" s="26" t="s">
        <v>121</v>
      </c>
      <c r="Z6" s="44"/>
      <c r="AA6" s="26"/>
      <c r="AB6" s="26" t="s">
        <v>69</v>
      </c>
      <c r="AC6" s="26" t="s">
        <v>121</v>
      </c>
      <c r="AD6" s="26" t="s">
        <v>121</v>
      </c>
      <c r="AE6" s="26" t="s">
        <v>120</v>
      </c>
      <c r="AF6" s="26" t="s">
        <v>160</v>
      </c>
      <c r="AG6" s="112"/>
      <c r="AH6" s="106" t="s">
        <v>354</v>
      </c>
      <c r="AI6" s="107"/>
      <c r="AJ6" s="109">
        <v>1</v>
      </c>
      <c r="AK6" s="111">
        <f>(G6+H6+I6+J6+K6+N6+O6+Q6+R6+U6+V6+W6+X6+Y6+AB6+AC6+AD6+AE6+AF6)/19</f>
        <v>0.36926169590643276</v>
      </c>
      <c r="AL6" s="181">
        <f>(G7+H7+I7+J7+K7+N7+O7+Q7+R7+U7+V7+X7+Y7+AB7+AC7+AD7+AE7+AF7)/18</f>
        <v>0.76674382716049361</v>
      </c>
    </row>
    <row r="7" spans="1:65" ht="21.75" customHeight="1" thickTop="1" thickBot="1" x14ac:dyDescent="0.45">
      <c r="A7" s="156"/>
      <c r="B7" s="186"/>
      <c r="C7" s="120"/>
      <c r="D7" s="25" t="s">
        <v>52</v>
      </c>
      <c r="E7" s="44"/>
      <c r="F7" s="26"/>
      <c r="G7" s="26" t="s">
        <v>90</v>
      </c>
      <c r="H7" s="26" t="s">
        <v>170</v>
      </c>
      <c r="I7" s="26" t="s">
        <v>240</v>
      </c>
      <c r="J7" s="26" t="s">
        <v>164</v>
      </c>
      <c r="K7" s="26" t="s">
        <v>222</v>
      </c>
      <c r="L7" s="44"/>
      <c r="M7" s="26"/>
      <c r="N7" s="26" t="s">
        <v>289</v>
      </c>
      <c r="O7" s="26" t="s">
        <v>98</v>
      </c>
      <c r="P7" s="126"/>
      <c r="Q7" s="26" t="s">
        <v>229</v>
      </c>
      <c r="R7" s="26" t="s">
        <v>266</v>
      </c>
      <c r="S7" s="44"/>
      <c r="T7" s="26"/>
      <c r="U7" s="26" t="s">
        <v>290</v>
      </c>
      <c r="V7" s="26" t="s">
        <v>200</v>
      </c>
      <c r="W7" s="26" t="s">
        <v>291</v>
      </c>
      <c r="X7" s="26" t="s">
        <v>229</v>
      </c>
      <c r="Y7" s="26" t="s">
        <v>235</v>
      </c>
      <c r="Z7" s="44"/>
      <c r="AA7" s="26"/>
      <c r="AB7" s="26" t="s">
        <v>229</v>
      </c>
      <c r="AC7" s="26" t="s">
        <v>228</v>
      </c>
      <c r="AD7" s="26" t="s">
        <v>235</v>
      </c>
      <c r="AE7" s="26" t="s">
        <v>229</v>
      </c>
      <c r="AF7" s="26" t="s">
        <v>292</v>
      </c>
      <c r="AG7" s="112"/>
      <c r="AH7" s="106"/>
      <c r="AI7" s="108"/>
      <c r="AJ7" s="110"/>
      <c r="AK7" s="111"/>
      <c r="AL7" s="181"/>
    </row>
    <row r="8" spans="1:65" ht="21.75" customHeight="1" thickTop="1" thickBot="1" x14ac:dyDescent="0.45">
      <c r="A8" s="156"/>
      <c r="B8" s="186" t="s">
        <v>53</v>
      </c>
      <c r="C8" s="120" t="s">
        <v>55</v>
      </c>
      <c r="D8" s="25" t="s">
        <v>51</v>
      </c>
      <c r="E8" s="44"/>
      <c r="F8" s="26"/>
      <c r="G8" s="126" t="s">
        <v>176</v>
      </c>
      <c r="H8" s="26" t="s">
        <v>135</v>
      </c>
      <c r="I8" s="26" t="s">
        <v>135</v>
      </c>
      <c r="J8" s="26" t="s">
        <v>120</v>
      </c>
      <c r="K8" s="26" t="s">
        <v>121</v>
      </c>
      <c r="L8" s="44"/>
      <c r="M8" s="26"/>
      <c r="N8" s="26" t="s">
        <v>121</v>
      </c>
      <c r="O8" s="26" t="s">
        <v>134</v>
      </c>
      <c r="P8" s="26" t="s">
        <v>76</v>
      </c>
      <c r="Q8" s="26" t="s">
        <v>120</v>
      </c>
      <c r="R8" s="26" t="s">
        <v>79</v>
      </c>
      <c r="S8" s="44"/>
      <c r="T8" s="26"/>
      <c r="U8" s="26" t="s">
        <v>69</v>
      </c>
      <c r="V8" s="26" t="s">
        <v>79</v>
      </c>
      <c r="W8" s="26" t="s">
        <v>134</v>
      </c>
      <c r="X8" s="26" t="s">
        <v>120</v>
      </c>
      <c r="Y8" s="26" t="s">
        <v>93</v>
      </c>
      <c r="Z8" s="44"/>
      <c r="AA8" s="26"/>
      <c r="AB8" s="26" t="s">
        <v>156</v>
      </c>
      <c r="AC8" s="26" t="s">
        <v>76</v>
      </c>
      <c r="AD8" s="26" t="s">
        <v>76</v>
      </c>
      <c r="AE8" s="26" t="s">
        <v>121</v>
      </c>
      <c r="AF8" s="26" t="s">
        <v>120</v>
      </c>
      <c r="AG8" s="112"/>
      <c r="AH8" s="106"/>
      <c r="AI8" s="107"/>
      <c r="AJ8" s="109">
        <v>1.5</v>
      </c>
      <c r="AK8" s="111">
        <f>(H8+I8+J8+K8+N8+O8+P8+Q8+R8+U8+V8+W8+X8+Y8+AB8+AC8+AD8+AE8+AF8)/19</f>
        <v>0.36600877192982462</v>
      </c>
      <c r="AL8" s="181">
        <f>(H9+I9+J9+K9+N9+O9+P9+Q9+R9+V9+X9+Y9+AB9+AC9+AD9+AE9+AF9)/17</f>
        <v>0.78476307189542482</v>
      </c>
    </row>
    <row r="9" spans="1:65" ht="21.75" customHeight="1" thickTop="1" thickBot="1" x14ac:dyDescent="0.45">
      <c r="A9" s="156"/>
      <c r="B9" s="186"/>
      <c r="C9" s="120"/>
      <c r="D9" s="25" t="s">
        <v>52</v>
      </c>
      <c r="E9" s="44"/>
      <c r="F9" s="26"/>
      <c r="G9" s="126"/>
      <c r="H9" s="26" t="s">
        <v>294</v>
      </c>
      <c r="I9" s="26" t="s">
        <v>91</v>
      </c>
      <c r="J9" s="26" t="s">
        <v>102</v>
      </c>
      <c r="K9" s="26" t="s">
        <v>158</v>
      </c>
      <c r="L9" s="44"/>
      <c r="M9" s="26"/>
      <c r="N9" s="26" t="s">
        <v>146</v>
      </c>
      <c r="O9" s="26" t="s">
        <v>90</v>
      </c>
      <c r="P9" s="26" t="s">
        <v>86</v>
      </c>
      <c r="Q9" s="26" t="s">
        <v>158</v>
      </c>
      <c r="R9" s="26" t="s">
        <v>86</v>
      </c>
      <c r="S9" s="44"/>
      <c r="T9" s="26"/>
      <c r="U9" s="41" t="s">
        <v>279</v>
      </c>
      <c r="V9" s="26" t="s">
        <v>166</v>
      </c>
      <c r="W9" s="26" t="s">
        <v>335</v>
      </c>
      <c r="X9" s="26" t="s">
        <v>87</v>
      </c>
      <c r="Y9" s="26" t="s">
        <v>151</v>
      </c>
      <c r="Z9" s="44"/>
      <c r="AA9" s="26"/>
      <c r="AB9" s="26" t="s">
        <v>141</v>
      </c>
      <c r="AC9" s="26" t="s">
        <v>103</v>
      </c>
      <c r="AD9" s="26" t="s">
        <v>150</v>
      </c>
      <c r="AE9" s="26" t="s">
        <v>169</v>
      </c>
      <c r="AF9" s="26" t="s">
        <v>153</v>
      </c>
      <c r="AG9" s="112"/>
      <c r="AH9" s="106"/>
      <c r="AI9" s="108"/>
      <c r="AJ9" s="110"/>
      <c r="AK9" s="111"/>
      <c r="AL9" s="181"/>
    </row>
    <row r="10" spans="1:65" ht="21.75" customHeight="1" thickTop="1" thickBot="1" x14ac:dyDescent="0.45">
      <c r="A10" s="157"/>
      <c r="B10" s="186" t="s">
        <v>53</v>
      </c>
      <c r="C10" s="120" t="s">
        <v>243</v>
      </c>
      <c r="D10" s="25" t="s">
        <v>51</v>
      </c>
      <c r="E10" s="44"/>
      <c r="F10" s="26"/>
      <c r="G10" s="26" t="s">
        <v>350</v>
      </c>
      <c r="H10" s="26" t="s">
        <v>69</v>
      </c>
      <c r="I10" s="26" t="s">
        <v>72</v>
      </c>
      <c r="J10" s="26" t="s">
        <v>111</v>
      </c>
      <c r="K10" s="26" t="s">
        <v>97</v>
      </c>
      <c r="L10" s="44"/>
      <c r="M10" s="26"/>
      <c r="N10" s="26" t="s">
        <v>75</v>
      </c>
      <c r="O10" s="26" t="s">
        <v>76</v>
      </c>
      <c r="P10" s="26" t="s">
        <v>160</v>
      </c>
      <c r="Q10" s="26" t="s">
        <v>71</v>
      </c>
      <c r="R10" s="26" t="s">
        <v>156</v>
      </c>
      <c r="S10" s="44"/>
      <c r="T10" s="26"/>
      <c r="U10" s="26" t="s">
        <v>99</v>
      </c>
      <c r="V10" s="26" t="s">
        <v>76</v>
      </c>
      <c r="W10" s="26" t="s">
        <v>78</v>
      </c>
      <c r="X10" s="26" t="s">
        <v>97</v>
      </c>
      <c r="Y10" s="26" t="s">
        <v>74</v>
      </c>
      <c r="Z10" s="44"/>
      <c r="AA10" s="26"/>
      <c r="AB10" s="26" t="s">
        <v>206</v>
      </c>
      <c r="AC10" s="26" t="s">
        <v>99</v>
      </c>
      <c r="AD10" s="26" t="s">
        <v>72</v>
      </c>
      <c r="AE10" s="26" t="s">
        <v>75</v>
      </c>
      <c r="AF10" s="26" t="s">
        <v>75</v>
      </c>
      <c r="AG10" s="107"/>
      <c r="AH10" s="112"/>
      <c r="AI10" s="107"/>
      <c r="AJ10" s="102"/>
      <c r="AK10" s="111">
        <f>(G10+H10+I10+J10+K10+N10+O10+P10+Q10+R10+U10+V10+W10+X10+Y10+AB10+AC10+AD10+AE10+AF10)/20</f>
        <v>0.35875000000000001</v>
      </c>
      <c r="AL10" s="181">
        <f>(G11+H11+I11+J11+K11+N11+O11+P11+Q11+R11+U11+V11+X11+Y11+AB11+AC11+AD11+AE11+AF11)/19</f>
        <v>0.78157894736842082</v>
      </c>
    </row>
    <row r="11" spans="1:65" ht="21.75" customHeight="1" thickTop="1" thickBot="1" x14ac:dyDescent="0.45">
      <c r="A11" s="157"/>
      <c r="B11" s="186"/>
      <c r="C11" s="120"/>
      <c r="D11" s="25" t="s">
        <v>52</v>
      </c>
      <c r="E11" s="44"/>
      <c r="F11" s="26"/>
      <c r="G11" s="26" t="s">
        <v>154</v>
      </c>
      <c r="H11" s="26" t="s">
        <v>146</v>
      </c>
      <c r="I11" s="26" t="s">
        <v>123</v>
      </c>
      <c r="J11" s="26" t="s">
        <v>103</v>
      </c>
      <c r="K11" s="26" t="s">
        <v>80</v>
      </c>
      <c r="L11" s="44"/>
      <c r="M11" s="26"/>
      <c r="N11" s="26" t="s">
        <v>147</v>
      </c>
      <c r="O11" s="26" t="s">
        <v>103</v>
      </c>
      <c r="P11" s="26" t="s">
        <v>80</v>
      </c>
      <c r="Q11" s="26" t="s">
        <v>150</v>
      </c>
      <c r="R11" s="26" t="s">
        <v>103</v>
      </c>
      <c r="S11" s="44"/>
      <c r="T11" s="26"/>
      <c r="U11" s="26" t="s">
        <v>154</v>
      </c>
      <c r="V11" s="26" t="s">
        <v>87</v>
      </c>
      <c r="W11" s="26" t="s">
        <v>80</v>
      </c>
      <c r="X11" s="26" t="s">
        <v>147</v>
      </c>
      <c r="Y11" s="26" t="s">
        <v>165</v>
      </c>
      <c r="Z11" s="44"/>
      <c r="AA11" s="26"/>
      <c r="AB11" s="26" t="s">
        <v>86</v>
      </c>
      <c r="AC11" s="26" t="s">
        <v>103</v>
      </c>
      <c r="AD11" s="26" t="s">
        <v>150</v>
      </c>
      <c r="AE11" s="26" t="s">
        <v>116</v>
      </c>
      <c r="AF11" s="26" t="s">
        <v>89</v>
      </c>
      <c r="AG11" s="108"/>
      <c r="AH11" s="112"/>
      <c r="AI11" s="108"/>
      <c r="AJ11" s="103"/>
      <c r="AK11" s="111"/>
      <c r="AL11" s="181"/>
    </row>
    <row r="12" spans="1:65" ht="21.75" customHeight="1" thickTop="1" thickBot="1" x14ac:dyDescent="0.45">
      <c r="A12" s="157"/>
      <c r="B12" s="186" t="s">
        <v>53</v>
      </c>
      <c r="C12" s="120" t="s">
        <v>244</v>
      </c>
      <c r="D12" s="25" t="s">
        <v>51</v>
      </c>
      <c r="E12" s="44"/>
      <c r="F12" s="26"/>
      <c r="G12" s="26" t="s">
        <v>152</v>
      </c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12"/>
      <c r="AH12" s="106"/>
      <c r="AI12" s="107"/>
      <c r="AJ12" s="109"/>
      <c r="AK12" s="111">
        <f>(G12)/1</f>
        <v>0.36666666666666664</v>
      </c>
      <c r="AL12" s="181">
        <f>(G13)/1</f>
        <v>0.77847222222222223</v>
      </c>
    </row>
    <row r="13" spans="1:65" ht="21.75" customHeight="1" thickTop="1" thickBot="1" x14ac:dyDescent="0.45">
      <c r="A13" s="157"/>
      <c r="B13" s="186"/>
      <c r="C13" s="120"/>
      <c r="D13" s="25" t="s">
        <v>52</v>
      </c>
      <c r="E13" s="44"/>
      <c r="F13" s="26"/>
      <c r="G13" s="26" t="s">
        <v>90</v>
      </c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12"/>
      <c r="AH13" s="106"/>
      <c r="AI13" s="108"/>
      <c r="AJ13" s="110"/>
      <c r="AK13" s="111"/>
      <c r="AL13" s="181"/>
    </row>
    <row r="14" spans="1:65" ht="21.75" customHeight="1" thickTop="1" thickBot="1" x14ac:dyDescent="0.45">
      <c r="A14" s="157"/>
      <c r="B14" s="186" t="s">
        <v>56</v>
      </c>
      <c r="C14" s="120" t="s">
        <v>177</v>
      </c>
      <c r="D14" s="25" t="s">
        <v>51</v>
      </c>
      <c r="E14" s="44"/>
      <c r="F14" s="26"/>
      <c r="G14" s="26" t="s">
        <v>106</v>
      </c>
      <c r="H14" s="26" t="s">
        <v>193</v>
      </c>
      <c r="I14" s="26" t="s">
        <v>193</v>
      </c>
      <c r="J14" s="26" t="s">
        <v>106</v>
      </c>
      <c r="K14" s="26" t="s">
        <v>193</v>
      </c>
      <c r="L14" s="44"/>
      <c r="M14" s="26"/>
      <c r="N14" s="26" t="s">
        <v>139</v>
      </c>
      <c r="O14" s="26" t="s">
        <v>109</v>
      </c>
      <c r="P14" s="26" t="s">
        <v>215</v>
      </c>
      <c r="Q14" s="26" t="s">
        <v>96</v>
      </c>
      <c r="R14" s="26" t="s">
        <v>124</v>
      </c>
      <c r="S14" s="44"/>
      <c r="T14" s="26"/>
      <c r="U14" s="26" t="s">
        <v>106</v>
      </c>
      <c r="V14" s="26" t="s">
        <v>124</v>
      </c>
      <c r="W14" s="26" t="s">
        <v>124</v>
      </c>
      <c r="X14" s="26" t="s">
        <v>193</v>
      </c>
      <c r="Y14" s="26" t="s">
        <v>96</v>
      </c>
      <c r="Z14" s="44"/>
      <c r="AA14" s="26"/>
      <c r="AB14" s="26" t="s">
        <v>96</v>
      </c>
      <c r="AC14" s="26" t="s">
        <v>96</v>
      </c>
      <c r="AD14" s="26" t="s">
        <v>96</v>
      </c>
      <c r="AE14" s="26" t="s">
        <v>124</v>
      </c>
      <c r="AF14" s="26" t="s">
        <v>96</v>
      </c>
      <c r="AG14" s="112"/>
      <c r="AH14" s="106"/>
      <c r="AI14" s="107"/>
      <c r="AJ14" s="102"/>
      <c r="AK14" s="111">
        <f>(G14+H14+I14+J14+K14+N14+O14+P14+Q14+R14+U14+V14+W14+X14+Y14+AB14+AC14+AD14+AE14+AF14)/20</f>
        <v>0.34885416666666674</v>
      </c>
      <c r="AL14" s="181">
        <f>(G15+H15+I15+J15+K15+N15+O15+P15+Q15+R15+U15+V15+X15+Y15+AB15+AC15+AD15+AE15+AF15)/19</f>
        <v>0.78797514619883058</v>
      </c>
    </row>
    <row r="15" spans="1:65" ht="21.75" customHeight="1" thickTop="1" thickBot="1" x14ac:dyDescent="0.45">
      <c r="A15" s="158"/>
      <c r="B15" s="186"/>
      <c r="C15" s="120"/>
      <c r="D15" s="25" t="s">
        <v>52</v>
      </c>
      <c r="E15" s="44"/>
      <c r="F15" s="26"/>
      <c r="G15" s="26" t="s">
        <v>158</v>
      </c>
      <c r="H15" s="26" t="s">
        <v>338</v>
      </c>
      <c r="I15" s="26" t="s">
        <v>147</v>
      </c>
      <c r="J15" s="26" t="s">
        <v>102</v>
      </c>
      <c r="K15" s="26" t="s">
        <v>147</v>
      </c>
      <c r="L15" s="44"/>
      <c r="M15" s="26"/>
      <c r="N15" s="26" t="s">
        <v>132</v>
      </c>
      <c r="O15" s="26" t="s">
        <v>186</v>
      </c>
      <c r="P15" s="26" t="s">
        <v>339</v>
      </c>
      <c r="Q15" s="26" t="s">
        <v>83</v>
      </c>
      <c r="R15" s="26" t="s">
        <v>90</v>
      </c>
      <c r="S15" s="44"/>
      <c r="T15" s="26"/>
      <c r="U15" s="26" t="s">
        <v>157</v>
      </c>
      <c r="V15" s="26" t="s">
        <v>158</v>
      </c>
      <c r="W15" s="26" t="s">
        <v>341</v>
      </c>
      <c r="X15" s="26" t="s">
        <v>87</v>
      </c>
      <c r="Y15" s="26" t="s">
        <v>141</v>
      </c>
      <c r="Z15" s="44"/>
      <c r="AA15" s="26"/>
      <c r="AB15" s="26" t="s">
        <v>90</v>
      </c>
      <c r="AC15" s="26" t="s">
        <v>91</v>
      </c>
      <c r="AD15" s="26" t="s">
        <v>92</v>
      </c>
      <c r="AE15" s="26" t="s">
        <v>169</v>
      </c>
      <c r="AF15" s="26" t="s">
        <v>103</v>
      </c>
      <c r="AG15" s="112"/>
      <c r="AH15" s="106"/>
      <c r="AI15" s="108"/>
      <c r="AJ15" s="103"/>
      <c r="AK15" s="111"/>
      <c r="AL15" s="181"/>
    </row>
    <row r="16" spans="1:65" ht="21.75" customHeight="1" x14ac:dyDescent="0.4">
      <c r="A16" s="30"/>
      <c r="B16" s="190" t="s">
        <v>56</v>
      </c>
      <c r="C16" s="120" t="s">
        <v>57</v>
      </c>
      <c r="D16" s="25" t="s">
        <v>51</v>
      </c>
      <c r="E16" s="44"/>
      <c r="F16" s="26"/>
      <c r="G16" s="26" t="s">
        <v>135</v>
      </c>
      <c r="H16" s="26" t="s">
        <v>79</v>
      </c>
      <c r="I16" s="26" t="s">
        <v>135</v>
      </c>
      <c r="J16" s="26" t="s">
        <v>135</v>
      </c>
      <c r="K16" s="26" t="s">
        <v>135</v>
      </c>
      <c r="L16" s="44"/>
      <c r="M16" s="26"/>
      <c r="N16" s="26" t="s">
        <v>135</v>
      </c>
      <c r="O16" s="26" t="s">
        <v>135</v>
      </c>
      <c r="P16" s="26" t="s">
        <v>135</v>
      </c>
      <c r="Q16" s="26" t="s">
        <v>135</v>
      </c>
      <c r="R16" s="26" t="s">
        <v>135</v>
      </c>
      <c r="S16" s="44"/>
      <c r="T16" s="26"/>
      <c r="U16" s="26" t="s">
        <v>68</v>
      </c>
      <c r="V16" s="26" t="s">
        <v>135</v>
      </c>
      <c r="W16" s="26" t="s">
        <v>71</v>
      </c>
      <c r="X16" s="26" t="s">
        <v>156</v>
      </c>
      <c r="Y16" s="26" t="s">
        <v>135</v>
      </c>
      <c r="Z16" s="44"/>
      <c r="AA16" s="26"/>
      <c r="AB16" s="26" t="s">
        <v>156</v>
      </c>
      <c r="AC16" s="26" t="s">
        <v>135</v>
      </c>
      <c r="AD16" s="26" t="s">
        <v>156</v>
      </c>
      <c r="AE16" s="26" t="s">
        <v>135</v>
      </c>
      <c r="AF16" s="26" t="s">
        <v>71</v>
      </c>
      <c r="AG16" s="107"/>
      <c r="AH16" s="166"/>
      <c r="AI16" s="107"/>
      <c r="AJ16" s="102"/>
      <c r="AK16" s="111">
        <f>(G16+H16+I16+J16+K16+N16+O16+P16+Q16+R16+U16+V16+W16+X16+Y16+AB16+AC16+AD16+AE16+AF16)/20</f>
        <v>0.37062500000000004</v>
      </c>
      <c r="AL16" s="181">
        <f>(G17+H17+I17+J17+K17+N17+O17+P17+Q17+R17+U17+V17+X17+Y17+AB17+AC17+AD17+AE17+AF17)/19</f>
        <v>0.78881578947368425</v>
      </c>
    </row>
    <row r="17" spans="1:38" ht="21.75" customHeight="1" thickBot="1" x14ac:dyDescent="0.45">
      <c r="A17" s="30"/>
      <c r="B17" s="187"/>
      <c r="C17" s="121"/>
      <c r="D17" s="31" t="s">
        <v>52</v>
      </c>
      <c r="E17" s="45"/>
      <c r="F17" s="32"/>
      <c r="G17" s="32" t="s">
        <v>158</v>
      </c>
      <c r="H17" s="32" t="s">
        <v>338</v>
      </c>
      <c r="I17" s="32" t="s">
        <v>83</v>
      </c>
      <c r="J17" s="32" t="s">
        <v>102</v>
      </c>
      <c r="K17" s="32" t="s">
        <v>147</v>
      </c>
      <c r="L17" s="45"/>
      <c r="M17" s="32"/>
      <c r="N17" s="32" t="s">
        <v>132</v>
      </c>
      <c r="O17" s="32" t="s">
        <v>186</v>
      </c>
      <c r="P17" s="32" t="s">
        <v>339</v>
      </c>
      <c r="Q17" s="32" t="s">
        <v>83</v>
      </c>
      <c r="R17" s="32" t="s">
        <v>90</v>
      </c>
      <c r="S17" s="45"/>
      <c r="T17" s="32"/>
      <c r="U17" s="32" t="s">
        <v>157</v>
      </c>
      <c r="V17" s="32" t="s">
        <v>158</v>
      </c>
      <c r="W17" s="32" t="s">
        <v>340</v>
      </c>
      <c r="X17" s="32" t="s">
        <v>147</v>
      </c>
      <c r="Y17" s="32" t="s">
        <v>141</v>
      </c>
      <c r="Z17" s="45"/>
      <c r="AA17" s="32"/>
      <c r="AB17" s="32" t="s">
        <v>123</v>
      </c>
      <c r="AC17" s="32" t="s">
        <v>157</v>
      </c>
      <c r="AD17" s="32" t="s">
        <v>92</v>
      </c>
      <c r="AE17" s="32" t="s">
        <v>81</v>
      </c>
      <c r="AF17" s="32" t="s">
        <v>103</v>
      </c>
      <c r="AG17" s="144"/>
      <c r="AH17" s="167"/>
      <c r="AI17" s="144"/>
      <c r="AJ17" s="168"/>
      <c r="AK17" s="188"/>
      <c r="AL17" s="189"/>
    </row>
    <row r="18" spans="1:38" ht="21.75" customHeight="1" x14ac:dyDescent="0.4">
      <c r="A18" s="115" t="s">
        <v>58</v>
      </c>
      <c r="B18" s="190" t="s">
        <v>59</v>
      </c>
      <c r="C18" s="159" t="s">
        <v>60</v>
      </c>
      <c r="D18" s="33" t="s">
        <v>51</v>
      </c>
      <c r="E18" s="43"/>
      <c r="F18" s="34"/>
      <c r="G18" s="34" t="s">
        <v>299</v>
      </c>
      <c r="H18" s="34" t="s">
        <v>111</v>
      </c>
      <c r="I18" s="34" t="s">
        <v>206</v>
      </c>
      <c r="J18" s="34" t="s">
        <v>140</v>
      </c>
      <c r="K18" s="34" t="s">
        <v>300</v>
      </c>
      <c r="L18" s="43"/>
      <c r="M18" s="34"/>
      <c r="N18" s="34" t="s">
        <v>231</v>
      </c>
      <c r="O18" s="34" t="s">
        <v>125</v>
      </c>
      <c r="P18" s="34" t="s">
        <v>301</v>
      </c>
      <c r="Q18" s="34" t="s">
        <v>138</v>
      </c>
      <c r="R18" s="34" t="s">
        <v>108</v>
      </c>
      <c r="S18" s="43"/>
      <c r="T18" s="34"/>
      <c r="U18" s="185" t="s">
        <v>351</v>
      </c>
      <c r="V18" s="185"/>
      <c r="W18" s="185"/>
      <c r="X18" s="34" t="s">
        <v>108</v>
      </c>
      <c r="Y18" s="34" t="s">
        <v>302</v>
      </c>
      <c r="Z18" s="43"/>
      <c r="AA18" s="34"/>
      <c r="AB18" s="34" t="s">
        <v>213</v>
      </c>
      <c r="AC18" s="34" t="s">
        <v>303</v>
      </c>
      <c r="AD18" s="34" t="s">
        <v>304</v>
      </c>
      <c r="AE18" s="34" t="s">
        <v>207</v>
      </c>
      <c r="AF18" s="34" t="s">
        <v>108</v>
      </c>
      <c r="AG18" s="160" t="s">
        <v>355</v>
      </c>
      <c r="AH18" s="166"/>
      <c r="AI18" s="163"/>
      <c r="AJ18" s="109"/>
      <c r="AK18" s="183">
        <f>(G18+H18+I18+J18+K18+N18+O18+P18+Q18+R18+X18+Y18+AB18+AC18+AD18+AE18+AF18)/17</f>
        <v>0.33092320261437908</v>
      </c>
      <c r="AL18" s="105">
        <f>(G19+H19+I19+J19+K19+N19+O19+P19+Q19+R19+X19+Y19+AB19+AC19+AD19+AE19+AF19)/17</f>
        <v>0.79534313725490202</v>
      </c>
    </row>
    <row r="19" spans="1:38" ht="21.75" customHeight="1" x14ac:dyDescent="0.4">
      <c r="A19" s="116"/>
      <c r="B19" s="186"/>
      <c r="C19" s="120"/>
      <c r="D19" s="25" t="s">
        <v>52</v>
      </c>
      <c r="E19" s="44"/>
      <c r="F19" s="26"/>
      <c r="G19" s="26" t="s">
        <v>305</v>
      </c>
      <c r="H19" s="26" t="s">
        <v>170</v>
      </c>
      <c r="I19" s="26" t="s">
        <v>306</v>
      </c>
      <c r="J19" s="26" t="s">
        <v>158</v>
      </c>
      <c r="K19" s="26" t="s">
        <v>307</v>
      </c>
      <c r="L19" s="44"/>
      <c r="M19" s="26"/>
      <c r="N19" s="26" t="s">
        <v>208</v>
      </c>
      <c r="O19" s="26" t="s">
        <v>81</v>
      </c>
      <c r="P19" s="26" t="s">
        <v>101</v>
      </c>
      <c r="Q19" s="26" t="s">
        <v>169</v>
      </c>
      <c r="R19" s="26" t="s">
        <v>116</v>
      </c>
      <c r="S19" s="44"/>
      <c r="T19" s="26"/>
      <c r="U19" s="184"/>
      <c r="V19" s="184"/>
      <c r="W19" s="184"/>
      <c r="X19" s="26" t="s">
        <v>116</v>
      </c>
      <c r="Y19" s="26" t="s">
        <v>166</v>
      </c>
      <c r="Z19" s="44"/>
      <c r="AA19" s="26"/>
      <c r="AB19" s="26" t="s">
        <v>308</v>
      </c>
      <c r="AC19" s="26" t="s">
        <v>144</v>
      </c>
      <c r="AD19" s="26" t="s">
        <v>131</v>
      </c>
      <c r="AE19" s="26" t="s">
        <v>309</v>
      </c>
      <c r="AF19" s="26" t="s">
        <v>310</v>
      </c>
      <c r="AG19" s="127"/>
      <c r="AH19" s="106"/>
      <c r="AI19" s="108"/>
      <c r="AJ19" s="110"/>
      <c r="AK19" s="111"/>
      <c r="AL19" s="181"/>
    </row>
    <row r="20" spans="1:38" ht="21.75" customHeight="1" x14ac:dyDescent="0.4">
      <c r="A20" s="116"/>
      <c r="B20" s="186" t="s">
        <v>53</v>
      </c>
      <c r="C20" s="120" t="s">
        <v>61</v>
      </c>
      <c r="D20" s="25" t="s">
        <v>51</v>
      </c>
      <c r="E20" s="44"/>
      <c r="F20" s="26"/>
      <c r="G20" s="26" t="s">
        <v>137</v>
      </c>
      <c r="H20" s="26" t="s">
        <v>72</v>
      </c>
      <c r="I20" s="26" t="s">
        <v>311</v>
      </c>
      <c r="J20" s="26" t="s">
        <v>93</v>
      </c>
      <c r="K20" s="26" t="s">
        <v>77</v>
      </c>
      <c r="L20" s="44"/>
      <c r="M20" s="26"/>
      <c r="N20" s="26" t="s">
        <v>73</v>
      </c>
      <c r="O20" s="26" t="s">
        <v>137</v>
      </c>
      <c r="P20" s="26" t="s">
        <v>110</v>
      </c>
      <c r="Q20" s="26" t="s">
        <v>120</v>
      </c>
      <c r="R20" s="26" t="s">
        <v>95</v>
      </c>
      <c r="S20" s="44"/>
      <c r="T20" s="26"/>
      <c r="U20" s="26" t="s">
        <v>94</v>
      </c>
      <c r="V20" s="26" t="s">
        <v>142</v>
      </c>
      <c r="W20" s="26" t="s">
        <v>76</v>
      </c>
      <c r="X20" s="26" t="s">
        <v>95</v>
      </c>
      <c r="Y20" s="26" t="s">
        <v>119</v>
      </c>
      <c r="Z20" s="44"/>
      <c r="AA20" s="26"/>
      <c r="AB20" s="26" t="s">
        <v>96</v>
      </c>
      <c r="AC20" s="26" t="s">
        <v>311</v>
      </c>
      <c r="AD20" s="26" t="s">
        <v>143</v>
      </c>
      <c r="AE20" s="26" t="s">
        <v>139</v>
      </c>
      <c r="AF20" s="126" t="s">
        <v>176</v>
      </c>
      <c r="AG20" s="127"/>
      <c r="AH20" s="106"/>
      <c r="AI20" s="107" t="s">
        <v>354</v>
      </c>
      <c r="AJ20" s="109">
        <v>1</v>
      </c>
      <c r="AK20" s="111">
        <f>(G20+H20+I20+J20+K20+N20+O20+P20+Q20+R20+U20+V20+W20+X20+Y20+AB20+AC20+AD20+AE20)/19</f>
        <v>0.35716374269005852</v>
      </c>
      <c r="AL20" s="181">
        <f>(G21+H21+I21+J21+K21+N21+O21+P21+Q21+R21+U21+V21+X21+Y21+AB21+AC21+AD21+AE21)/18</f>
        <v>0.7792052469135804</v>
      </c>
    </row>
    <row r="21" spans="1:38" ht="21.75" customHeight="1" x14ac:dyDescent="0.4">
      <c r="A21" s="116"/>
      <c r="B21" s="186"/>
      <c r="C21" s="120"/>
      <c r="D21" s="25" t="s">
        <v>52</v>
      </c>
      <c r="E21" s="44"/>
      <c r="F21" s="26"/>
      <c r="G21" s="26" t="s">
        <v>80</v>
      </c>
      <c r="H21" s="26" t="s">
        <v>85</v>
      </c>
      <c r="I21" s="26" t="s">
        <v>80</v>
      </c>
      <c r="J21" s="26" t="s">
        <v>312</v>
      </c>
      <c r="K21" s="26" t="s">
        <v>88</v>
      </c>
      <c r="L21" s="44"/>
      <c r="M21" s="26"/>
      <c r="N21" s="26" t="s">
        <v>88</v>
      </c>
      <c r="O21" s="26" t="s">
        <v>85</v>
      </c>
      <c r="P21" s="26" t="s">
        <v>80</v>
      </c>
      <c r="Q21" s="26" t="s">
        <v>150</v>
      </c>
      <c r="R21" s="26" t="s">
        <v>306</v>
      </c>
      <c r="S21" s="44"/>
      <c r="T21" s="26"/>
      <c r="U21" s="26" t="s">
        <v>103</v>
      </c>
      <c r="V21" s="26" t="s">
        <v>85</v>
      </c>
      <c r="W21" s="26" t="s">
        <v>313</v>
      </c>
      <c r="X21" s="26" t="s">
        <v>158</v>
      </c>
      <c r="Y21" s="26" t="s">
        <v>80</v>
      </c>
      <c r="Z21" s="44"/>
      <c r="AA21" s="26"/>
      <c r="AB21" s="26" t="s">
        <v>85</v>
      </c>
      <c r="AC21" s="26" t="s">
        <v>80</v>
      </c>
      <c r="AD21" s="26" t="s">
        <v>80</v>
      </c>
      <c r="AE21" s="26" t="s">
        <v>314</v>
      </c>
      <c r="AF21" s="126"/>
      <c r="AG21" s="127"/>
      <c r="AH21" s="106"/>
      <c r="AI21" s="108"/>
      <c r="AJ21" s="110"/>
      <c r="AK21" s="111"/>
      <c r="AL21" s="181"/>
    </row>
    <row r="22" spans="1:38" ht="22.5" customHeight="1" x14ac:dyDescent="0.4">
      <c r="A22" s="116"/>
      <c r="B22" s="186" t="s">
        <v>56</v>
      </c>
      <c r="C22" s="120" t="s">
        <v>32</v>
      </c>
      <c r="D22" s="25" t="s">
        <v>51</v>
      </c>
      <c r="E22" s="44"/>
      <c r="F22" s="26"/>
      <c r="G22" s="26" t="s">
        <v>135</v>
      </c>
      <c r="H22" s="26" t="s">
        <v>120</v>
      </c>
      <c r="I22" s="26" t="s">
        <v>120</v>
      </c>
      <c r="J22" s="26" t="s">
        <v>69</v>
      </c>
      <c r="K22" s="26" t="s">
        <v>120</v>
      </c>
      <c r="L22" s="44"/>
      <c r="M22" s="26"/>
      <c r="N22" s="26" t="s">
        <v>71</v>
      </c>
      <c r="O22" s="26" t="s">
        <v>120</v>
      </c>
      <c r="P22" s="26" t="s">
        <v>68</v>
      </c>
      <c r="Q22" s="26" t="s">
        <v>68</v>
      </c>
      <c r="R22" s="26" t="s">
        <v>68</v>
      </c>
      <c r="S22" s="44"/>
      <c r="T22" s="26"/>
      <c r="U22" s="26" t="s">
        <v>75</v>
      </c>
      <c r="V22" s="26" t="s">
        <v>69</v>
      </c>
      <c r="W22" s="26" t="s">
        <v>120</v>
      </c>
      <c r="X22" s="26" t="s">
        <v>75</v>
      </c>
      <c r="Y22" s="126" t="s">
        <v>176</v>
      </c>
      <c r="Z22" s="44"/>
      <c r="AA22" s="26"/>
      <c r="AB22" s="26" t="s">
        <v>75</v>
      </c>
      <c r="AC22" s="26" t="s">
        <v>68</v>
      </c>
      <c r="AD22" s="26" t="s">
        <v>78</v>
      </c>
      <c r="AE22" s="26" t="s">
        <v>68</v>
      </c>
      <c r="AF22" s="26" t="s">
        <v>78</v>
      </c>
      <c r="AG22" s="112"/>
      <c r="AH22" s="106"/>
      <c r="AI22" s="107"/>
      <c r="AJ22" s="109">
        <v>1.5</v>
      </c>
      <c r="AK22" s="111">
        <f>(G22+H22+I22+J22+K22+N22+O22+P22+Q22+R22+U22+V22+W22+X22+AB22+AC22+AD22+AE22+AF22)/19</f>
        <v>0.36663011695906433</v>
      </c>
      <c r="AL22" s="181">
        <f>(G23+H23+I23+K23+N23+O23+P23+Q23+R23+U23+V23+X23+AB23+AC23+AD23+AE23+AF23)/17</f>
        <v>0.77385620915032671</v>
      </c>
    </row>
    <row r="23" spans="1:38" ht="21.75" customHeight="1" x14ac:dyDescent="0.4">
      <c r="A23" s="116"/>
      <c r="B23" s="186"/>
      <c r="C23" s="120"/>
      <c r="D23" s="25" t="s">
        <v>52</v>
      </c>
      <c r="E23" s="44"/>
      <c r="F23" s="26"/>
      <c r="G23" s="26" t="s">
        <v>80</v>
      </c>
      <c r="H23" s="26" t="s">
        <v>85</v>
      </c>
      <c r="I23" s="26" t="s">
        <v>101</v>
      </c>
      <c r="J23" s="41" t="s">
        <v>279</v>
      </c>
      <c r="K23" s="26" t="s">
        <v>80</v>
      </c>
      <c r="L23" s="44"/>
      <c r="M23" s="26"/>
      <c r="N23" s="26" t="s">
        <v>88</v>
      </c>
      <c r="O23" s="26" t="s">
        <v>80</v>
      </c>
      <c r="P23" s="26" t="s">
        <v>80</v>
      </c>
      <c r="Q23" s="26" t="s">
        <v>80</v>
      </c>
      <c r="R23" s="26" t="s">
        <v>83</v>
      </c>
      <c r="S23" s="44"/>
      <c r="T23" s="26"/>
      <c r="U23" s="26" t="s">
        <v>85</v>
      </c>
      <c r="V23" s="26" t="s">
        <v>101</v>
      </c>
      <c r="W23" s="26" t="s">
        <v>313</v>
      </c>
      <c r="X23" s="26" t="s">
        <v>84</v>
      </c>
      <c r="Y23" s="126"/>
      <c r="Z23" s="44"/>
      <c r="AA23" s="26"/>
      <c r="AB23" s="26" t="s">
        <v>85</v>
      </c>
      <c r="AC23" s="26" t="s">
        <v>85</v>
      </c>
      <c r="AD23" s="26" t="s">
        <v>101</v>
      </c>
      <c r="AE23" s="26" t="s">
        <v>123</v>
      </c>
      <c r="AF23" s="26" t="s">
        <v>103</v>
      </c>
      <c r="AG23" s="112"/>
      <c r="AH23" s="106"/>
      <c r="AI23" s="108"/>
      <c r="AJ23" s="110"/>
      <c r="AK23" s="111"/>
      <c r="AL23" s="181"/>
    </row>
    <row r="24" spans="1:38" ht="21.75" customHeight="1" x14ac:dyDescent="0.4">
      <c r="A24" s="116"/>
      <c r="B24" s="186" t="s">
        <v>56</v>
      </c>
      <c r="C24" s="120" t="s">
        <v>63</v>
      </c>
      <c r="D24" s="25" t="s">
        <v>51</v>
      </c>
      <c r="E24" s="44"/>
      <c r="F24" s="26"/>
      <c r="G24" s="26" t="s">
        <v>121</v>
      </c>
      <c r="H24" s="29" t="s">
        <v>336</v>
      </c>
      <c r="I24" s="26" t="s">
        <v>121</v>
      </c>
      <c r="J24" s="26" t="s">
        <v>160</v>
      </c>
      <c r="K24" s="26" t="s">
        <v>121</v>
      </c>
      <c r="L24" s="44"/>
      <c r="M24" s="26"/>
      <c r="N24" s="29" t="s">
        <v>259</v>
      </c>
      <c r="O24" s="26" t="s">
        <v>121</v>
      </c>
      <c r="P24" s="26" t="s">
        <v>152</v>
      </c>
      <c r="Q24" s="26" t="s">
        <v>120</v>
      </c>
      <c r="R24" s="126" t="s">
        <v>176</v>
      </c>
      <c r="S24" s="44"/>
      <c r="T24" s="26"/>
      <c r="U24" s="26" t="s">
        <v>68</v>
      </c>
      <c r="V24" s="26" t="s">
        <v>160</v>
      </c>
      <c r="W24" s="26" t="s">
        <v>71</v>
      </c>
      <c r="X24" s="26" t="s">
        <v>162</v>
      </c>
      <c r="Y24" s="26" t="s">
        <v>76</v>
      </c>
      <c r="Z24" s="44"/>
      <c r="AA24" s="26"/>
      <c r="AB24" s="26" t="s">
        <v>121</v>
      </c>
      <c r="AC24" s="175" t="s">
        <v>352</v>
      </c>
      <c r="AD24" s="176"/>
      <c r="AE24" s="176"/>
      <c r="AF24" s="177"/>
      <c r="AG24" s="107"/>
      <c r="AH24" s="169" t="s">
        <v>356</v>
      </c>
      <c r="AI24" s="107"/>
      <c r="AJ24" s="109">
        <v>1</v>
      </c>
      <c r="AK24" s="111">
        <f>(G24+H24+I24+J24+K24+N24+O24+P24+Q24+U24+V24+W24+X24+Y24+AB24)/15</f>
        <v>0.3709722222222222</v>
      </c>
      <c r="AL24" s="181">
        <f>(G25+H25+I25+J25+K25+N25+O25+P25+Q25+U25+V25+X25+Y25+AB25)/14</f>
        <v>0.7937996031746033</v>
      </c>
    </row>
    <row r="25" spans="1:38" ht="21.75" customHeight="1" x14ac:dyDescent="0.4">
      <c r="A25" s="116"/>
      <c r="B25" s="186"/>
      <c r="C25" s="120"/>
      <c r="D25" s="25" t="s">
        <v>52</v>
      </c>
      <c r="E25" s="44"/>
      <c r="F25" s="26"/>
      <c r="G25" s="26" t="s">
        <v>306</v>
      </c>
      <c r="H25" s="26" t="s">
        <v>144</v>
      </c>
      <c r="I25" s="26" t="s">
        <v>178</v>
      </c>
      <c r="J25" s="26" t="s">
        <v>83</v>
      </c>
      <c r="K25" s="26" t="s">
        <v>307</v>
      </c>
      <c r="L25" s="44"/>
      <c r="M25" s="26"/>
      <c r="N25" s="26" t="s">
        <v>327</v>
      </c>
      <c r="O25" s="26" t="s">
        <v>83</v>
      </c>
      <c r="P25" s="26" t="s">
        <v>151</v>
      </c>
      <c r="Q25" s="26" t="s">
        <v>103</v>
      </c>
      <c r="R25" s="126"/>
      <c r="S25" s="44"/>
      <c r="T25" s="26"/>
      <c r="U25" s="26" t="s">
        <v>83</v>
      </c>
      <c r="V25" s="26" t="s">
        <v>208</v>
      </c>
      <c r="W25" s="26" t="s">
        <v>83</v>
      </c>
      <c r="X25" s="26" t="s">
        <v>116</v>
      </c>
      <c r="Y25" s="26" t="s">
        <v>146</v>
      </c>
      <c r="Z25" s="44"/>
      <c r="AA25" s="26"/>
      <c r="AB25" s="26" t="s">
        <v>308</v>
      </c>
      <c r="AC25" s="178"/>
      <c r="AD25" s="179"/>
      <c r="AE25" s="179"/>
      <c r="AF25" s="180"/>
      <c r="AG25" s="108"/>
      <c r="AH25" s="166"/>
      <c r="AI25" s="108"/>
      <c r="AJ25" s="110"/>
      <c r="AK25" s="111"/>
      <c r="AL25" s="181"/>
    </row>
    <row r="26" spans="1:38" ht="21.75" customHeight="1" x14ac:dyDescent="0.4">
      <c r="A26" s="116"/>
      <c r="B26" s="186" t="s">
        <v>56</v>
      </c>
      <c r="C26" s="120" t="s">
        <v>219</v>
      </c>
      <c r="D26" s="25" t="s">
        <v>51</v>
      </c>
      <c r="E26" s="44"/>
      <c r="F26" s="44"/>
      <c r="G26" s="26" t="s">
        <v>97</v>
      </c>
      <c r="H26" s="26" t="s">
        <v>207</v>
      </c>
      <c r="I26" s="26" t="s">
        <v>187</v>
      </c>
      <c r="J26" s="26" t="s">
        <v>109</v>
      </c>
      <c r="K26" s="26" t="s">
        <v>97</v>
      </c>
      <c r="L26" s="44"/>
      <c r="M26" s="44"/>
      <c r="N26" s="26" t="s">
        <v>109</v>
      </c>
      <c r="O26" s="26" t="s">
        <v>73</v>
      </c>
      <c r="P26" s="26" t="s">
        <v>143</v>
      </c>
      <c r="Q26" s="26" t="s">
        <v>193</v>
      </c>
      <c r="R26" s="26" t="s">
        <v>94</v>
      </c>
      <c r="S26" s="44"/>
      <c r="T26" s="44"/>
      <c r="U26" s="26" t="s">
        <v>106</v>
      </c>
      <c r="V26" s="26" t="s">
        <v>78</v>
      </c>
      <c r="W26" s="26" t="s">
        <v>136</v>
      </c>
      <c r="X26" s="26" t="s">
        <v>345</v>
      </c>
      <c r="Y26" s="26" t="s">
        <v>95</v>
      </c>
      <c r="Z26" s="44"/>
      <c r="AA26" s="44"/>
      <c r="AB26" s="26" t="s">
        <v>207</v>
      </c>
      <c r="AC26" s="26" t="s">
        <v>77</v>
      </c>
      <c r="AD26" s="26" t="s">
        <v>97</v>
      </c>
      <c r="AE26" s="26" t="s">
        <v>346</v>
      </c>
      <c r="AF26" s="26" t="s">
        <v>106</v>
      </c>
      <c r="AG26" s="112"/>
      <c r="AH26" s="106"/>
      <c r="AI26" s="107"/>
      <c r="AJ26" s="109">
        <v>0.5</v>
      </c>
      <c r="AK26" s="111">
        <f>(G26+H26+I26+J26+K26+N26+O26+P26+Q26+R26+U26+V26+W26+X26+Y26+AB26+AC26+AD26+AE26+AF26)/20</f>
        <v>0.35003472222222226</v>
      </c>
      <c r="AL26" s="181">
        <f>(G27+H27+I27+J27+K27+N27+O27+P27+Q27+U27+V27+X27+Y27+AB27+AC27+AD27+AE27+AF27)/18</f>
        <v>0.78834876543209875</v>
      </c>
    </row>
    <row r="27" spans="1:38" ht="21.75" customHeight="1" x14ac:dyDescent="0.4">
      <c r="A27" s="117"/>
      <c r="B27" s="186"/>
      <c r="C27" s="120"/>
      <c r="D27" s="25" t="s">
        <v>52</v>
      </c>
      <c r="E27" s="44"/>
      <c r="F27" s="44"/>
      <c r="G27" s="26" t="s">
        <v>103</v>
      </c>
      <c r="H27" s="26" t="s">
        <v>141</v>
      </c>
      <c r="I27" s="26" t="s">
        <v>101</v>
      </c>
      <c r="J27" s="26" t="s">
        <v>92</v>
      </c>
      <c r="K27" s="26" t="s">
        <v>343</v>
      </c>
      <c r="L27" s="44"/>
      <c r="M27" s="44"/>
      <c r="N27" s="26" t="s">
        <v>327</v>
      </c>
      <c r="O27" s="26" t="s">
        <v>289</v>
      </c>
      <c r="P27" s="26" t="s">
        <v>151</v>
      </c>
      <c r="Q27" s="26" t="s">
        <v>83</v>
      </c>
      <c r="R27" s="41" t="s">
        <v>279</v>
      </c>
      <c r="S27" s="44"/>
      <c r="T27" s="44"/>
      <c r="U27" s="26" t="s">
        <v>150</v>
      </c>
      <c r="V27" s="26" t="s">
        <v>102</v>
      </c>
      <c r="W27" s="26" t="s">
        <v>313</v>
      </c>
      <c r="X27" s="26" t="s">
        <v>87</v>
      </c>
      <c r="Y27" s="26" t="s">
        <v>146</v>
      </c>
      <c r="Z27" s="44"/>
      <c r="AA27" s="44"/>
      <c r="AB27" s="26" t="s">
        <v>92</v>
      </c>
      <c r="AC27" s="26" t="s">
        <v>82</v>
      </c>
      <c r="AD27" s="26" t="s">
        <v>166</v>
      </c>
      <c r="AE27" s="26" t="s">
        <v>166</v>
      </c>
      <c r="AF27" s="26" t="s">
        <v>117</v>
      </c>
      <c r="AG27" s="112"/>
      <c r="AH27" s="106"/>
      <c r="AI27" s="108"/>
      <c r="AJ27" s="110"/>
      <c r="AK27" s="111"/>
      <c r="AL27" s="181"/>
    </row>
    <row r="28" spans="1:38" ht="21.75" customHeight="1" x14ac:dyDescent="0.4">
      <c r="A28" s="117"/>
      <c r="B28" s="186" t="s">
        <v>56</v>
      </c>
      <c r="C28" s="120" t="s">
        <v>242</v>
      </c>
      <c r="D28" s="25" t="s">
        <v>51</v>
      </c>
      <c r="E28" s="44"/>
      <c r="F28" s="26"/>
      <c r="G28" s="26" t="s">
        <v>120</v>
      </c>
      <c r="H28" s="26" t="s">
        <v>71</v>
      </c>
      <c r="I28" s="26" t="s">
        <v>72</v>
      </c>
      <c r="J28" s="26" t="s">
        <v>74</v>
      </c>
      <c r="K28" s="126" t="s">
        <v>176</v>
      </c>
      <c r="L28" s="44"/>
      <c r="M28" s="26"/>
      <c r="N28" s="26" t="s">
        <v>72</v>
      </c>
      <c r="O28" s="26" t="s">
        <v>73</v>
      </c>
      <c r="P28" s="26" t="s">
        <v>121</v>
      </c>
      <c r="Q28" s="26" t="s">
        <v>75</v>
      </c>
      <c r="R28" s="26" t="s">
        <v>76</v>
      </c>
      <c r="S28" s="44"/>
      <c r="T28" s="26"/>
      <c r="U28" s="26" t="s">
        <v>69</v>
      </c>
      <c r="V28" s="26" t="s">
        <v>152</v>
      </c>
      <c r="W28" s="26" t="s">
        <v>75</v>
      </c>
      <c r="X28" s="26" t="s">
        <v>72</v>
      </c>
      <c r="Y28" s="26" t="s">
        <v>121</v>
      </c>
      <c r="Z28" s="44"/>
      <c r="AA28" s="26"/>
      <c r="AB28" s="26" t="s">
        <v>69</v>
      </c>
      <c r="AC28" s="26" t="s">
        <v>72</v>
      </c>
      <c r="AD28" s="26" t="s">
        <v>73</v>
      </c>
      <c r="AE28" s="26" t="s">
        <v>73</v>
      </c>
      <c r="AF28" s="26" t="s">
        <v>78</v>
      </c>
      <c r="AG28" s="112"/>
      <c r="AH28" s="106"/>
      <c r="AI28" s="107"/>
      <c r="AJ28" s="172">
        <v>1</v>
      </c>
      <c r="AK28" s="111">
        <f>(G28+H28+I28+J28+N28+O28+P28+Q28+R28+U28+V28+W28+X28+Y28+AB28+AC28+AD28+AE28+AF28)/19</f>
        <v>0.36483918128654974</v>
      </c>
      <c r="AL28" s="181">
        <f>(G29+H29+I29+J29+N29+O29+P29+Q29+R29+U29+V29+X29+Y29+AB29+AC29+AD29+AE29+AF29)/18</f>
        <v>0.79278549382716046</v>
      </c>
    </row>
    <row r="29" spans="1:38" ht="21.75" customHeight="1" thickBot="1" x14ac:dyDescent="0.45">
      <c r="A29" s="117"/>
      <c r="B29" s="187"/>
      <c r="C29" s="121"/>
      <c r="D29" s="31" t="s">
        <v>52</v>
      </c>
      <c r="E29" s="45"/>
      <c r="F29" s="32"/>
      <c r="G29" s="32" t="s">
        <v>103</v>
      </c>
      <c r="H29" s="32" t="s">
        <v>141</v>
      </c>
      <c r="I29" s="32" t="s">
        <v>306</v>
      </c>
      <c r="J29" s="32" t="s">
        <v>92</v>
      </c>
      <c r="K29" s="182"/>
      <c r="L29" s="45"/>
      <c r="M29" s="32"/>
      <c r="N29" s="32" t="s">
        <v>155</v>
      </c>
      <c r="O29" s="32" t="s">
        <v>191</v>
      </c>
      <c r="P29" s="32" t="s">
        <v>151</v>
      </c>
      <c r="Q29" s="32" t="s">
        <v>83</v>
      </c>
      <c r="R29" s="32" t="s">
        <v>173</v>
      </c>
      <c r="S29" s="45"/>
      <c r="T29" s="32"/>
      <c r="U29" s="32" t="s">
        <v>150</v>
      </c>
      <c r="V29" s="32" t="s">
        <v>166</v>
      </c>
      <c r="W29" s="32" t="s">
        <v>348</v>
      </c>
      <c r="X29" s="32" t="s">
        <v>169</v>
      </c>
      <c r="Y29" s="32" t="s">
        <v>103</v>
      </c>
      <c r="Z29" s="45"/>
      <c r="AA29" s="32"/>
      <c r="AB29" s="32" t="s">
        <v>92</v>
      </c>
      <c r="AC29" s="32" t="s">
        <v>349</v>
      </c>
      <c r="AD29" s="32" t="s">
        <v>131</v>
      </c>
      <c r="AE29" s="32" t="s">
        <v>165</v>
      </c>
      <c r="AF29" s="32" t="s">
        <v>103</v>
      </c>
      <c r="AG29" s="122"/>
      <c r="AH29" s="167"/>
      <c r="AI29" s="144"/>
      <c r="AJ29" s="173"/>
      <c r="AK29" s="188"/>
      <c r="AL29" s="189"/>
    </row>
    <row r="30" spans="1:38" ht="21.75" customHeight="1" x14ac:dyDescent="0.4">
      <c r="A30" s="123" t="s">
        <v>64</v>
      </c>
      <c r="B30" s="190" t="s">
        <v>59</v>
      </c>
      <c r="C30" s="159" t="s">
        <v>65</v>
      </c>
      <c r="D30" s="33" t="s">
        <v>51</v>
      </c>
      <c r="E30" s="43"/>
      <c r="F30" s="34"/>
      <c r="G30" s="34" t="s">
        <v>142</v>
      </c>
      <c r="H30" s="34" t="s">
        <v>100</v>
      </c>
      <c r="I30" s="34" t="s">
        <v>134</v>
      </c>
      <c r="J30" s="34" t="s">
        <v>74</v>
      </c>
      <c r="K30" s="34" t="s">
        <v>119</v>
      </c>
      <c r="L30" s="43"/>
      <c r="M30" s="34"/>
      <c r="N30" s="34" t="s">
        <v>75</v>
      </c>
      <c r="O30" s="34" t="s">
        <v>137</v>
      </c>
      <c r="P30" s="34" t="s">
        <v>95</v>
      </c>
      <c r="Q30" s="34" t="s">
        <v>143</v>
      </c>
      <c r="R30" s="34" t="s">
        <v>94</v>
      </c>
      <c r="S30" s="43"/>
      <c r="T30" s="34"/>
      <c r="U30" s="34" t="s">
        <v>73</v>
      </c>
      <c r="V30" s="34" t="s">
        <v>293</v>
      </c>
      <c r="W30" s="34" t="s">
        <v>100</v>
      </c>
      <c r="X30" s="34" t="s">
        <v>179</v>
      </c>
      <c r="Y30" s="34" t="s">
        <v>142</v>
      </c>
      <c r="Z30" s="43"/>
      <c r="AA30" s="34"/>
      <c r="AB30" s="34" t="s">
        <v>95</v>
      </c>
      <c r="AC30" s="34" t="s">
        <v>121</v>
      </c>
      <c r="AD30" s="34" t="s">
        <v>99</v>
      </c>
      <c r="AE30" s="34" t="s">
        <v>95</v>
      </c>
      <c r="AF30" s="34" t="s">
        <v>179</v>
      </c>
      <c r="AG30" s="160"/>
      <c r="AH30" s="166"/>
      <c r="AI30" s="163" t="s">
        <v>357</v>
      </c>
      <c r="AJ30" s="109"/>
      <c r="AK30" s="183">
        <f>(G30+H30+I30+J30+K30+N30+O30+P30+Q30+R30+U30+W30+X30+Y30+AB30+AC30+AD30+AE30+AF30)/19</f>
        <v>0.35910087719298245</v>
      </c>
      <c r="AL30" s="105">
        <f>(G31+H31+I31+J31+K31+N31+O31+P31+Q31+R31+U31+V31+X31+Y31+AB31+AC31+AD31+AE31+AF31)/19</f>
        <v>0.81684941520467846</v>
      </c>
    </row>
    <row r="31" spans="1:38" ht="21.75" customHeight="1" x14ac:dyDescent="0.4">
      <c r="A31" s="124"/>
      <c r="B31" s="186"/>
      <c r="C31" s="120"/>
      <c r="D31" s="25" t="s">
        <v>52</v>
      </c>
      <c r="E31" s="44"/>
      <c r="F31" s="26"/>
      <c r="G31" s="26" t="s">
        <v>186</v>
      </c>
      <c r="H31" s="26" t="s">
        <v>294</v>
      </c>
      <c r="I31" s="26" t="s">
        <v>295</v>
      </c>
      <c r="J31" s="26" t="s">
        <v>169</v>
      </c>
      <c r="K31" s="26" t="s">
        <v>201</v>
      </c>
      <c r="L31" s="44"/>
      <c r="M31" s="26"/>
      <c r="N31" s="26" t="s">
        <v>296</v>
      </c>
      <c r="O31" s="26" t="s">
        <v>195</v>
      </c>
      <c r="P31" s="26" t="s">
        <v>114</v>
      </c>
      <c r="Q31" s="26" t="s">
        <v>186</v>
      </c>
      <c r="R31" s="26" t="s">
        <v>155</v>
      </c>
      <c r="S31" s="44"/>
      <c r="T31" s="26"/>
      <c r="U31" s="26" t="s">
        <v>295</v>
      </c>
      <c r="V31" s="26" t="s">
        <v>105</v>
      </c>
      <c r="W31" s="26" t="s">
        <v>195</v>
      </c>
      <c r="X31" s="26" t="s">
        <v>297</v>
      </c>
      <c r="Y31" s="26" t="s">
        <v>195</v>
      </c>
      <c r="Z31" s="44"/>
      <c r="AA31" s="26"/>
      <c r="AB31" s="26" t="s">
        <v>190</v>
      </c>
      <c r="AC31" s="26" t="s">
        <v>167</v>
      </c>
      <c r="AD31" s="26" t="s">
        <v>289</v>
      </c>
      <c r="AE31" s="26" t="s">
        <v>167</v>
      </c>
      <c r="AF31" s="26" t="s">
        <v>298</v>
      </c>
      <c r="AG31" s="127"/>
      <c r="AH31" s="106"/>
      <c r="AI31" s="108"/>
      <c r="AJ31" s="110"/>
      <c r="AK31" s="111"/>
      <c r="AL31" s="181"/>
    </row>
    <row r="32" spans="1:38" ht="21.75" customHeight="1" x14ac:dyDescent="0.4">
      <c r="A32" s="124"/>
      <c r="B32" s="186" t="s">
        <v>67</v>
      </c>
      <c r="C32" s="120" t="s">
        <v>66</v>
      </c>
      <c r="D32" s="25" t="s">
        <v>51</v>
      </c>
      <c r="E32" s="44"/>
      <c r="F32" s="26"/>
      <c r="G32" s="26" t="s">
        <v>100</v>
      </c>
      <c r="H32" s="26" t="s">
        <v>119</v>
      </c>
      <c r="I32" s="26" t="s">
        <v>74</v>
      </c>
      <c r="J32" s="26" t="s">
        <v>78</v>
      </c>
      <c r="K32" s="26" t="s">
        <v>74</v>
      </c>
      <c r="L32" s="44"/>
      <c r="M32" s="26"/>
      <c r="N32" s="26" t="s">
        <v>100</v>
      </c>
      <c r="O32" s="26" t="s">
        <v>78</v>
      </c>
      <c r="P32" s="126" t="s">
        <v>176</v>
      </c>
      <c r="Q32" s="26" t="s">
        <v>179</v>
      </c>
      <c r="R32" s="26" t="s">
        <v>78</v>
      </c>
      <c r="S32" s="44"/>
      <c r="T32" s="26"/>
      <c r="U32" s="184" t="s">
        <v>351</v>
      </c>
      <c r="V32" s="184"/>
      <c r="W32" s="184"/>
      <c r="X32" s="26" t="s">
        <v>142</v>
      </c>
      <c r="Y32" s="26" t="s">
        <v>94</v>
      </c>
      <c r="Z32" s="44"/>
      <c r="AA32" s="26"/>
      <c r="AB32" s="26" t="s">
        <v>100</v>
      </c>
      <c r="AC32" s="26" t="s">
        <v>93</v>
      </c>
      <c r="AD32" s="26" t="s">
        <v>94</v>
      </c>
      <c r="AE32" s="26" t="s">
        <v>93</v>
      </c>
      <c r="AF32" s="26" t="s">
        <v>93</v>
      </c>
      <c r="AG32" s="112"/>
      <c r="AH32" s="106"/>
      <c r="AI32" s="107" t="s">
        <v>358</v>
      </c>
      <c r="AJ32" s="109">
        <v>1</v>
      </c>
      <c r="AK32" s="111">
        <f>(G32+H32+I32+J32+K32+N32+O32+Q32+R32+X32+Y32+AB32+AC32+AD32+AE32+AF32)/16</f>
        <v>0.35993923611111101</v>
      </c>
      <c r="AL32" s="181">
        <f>(G33+H33+I33+J33+K33+N33+O33+Q33+R33+X33+Y33+AB33+AC33+AD33+AE33+AF33)/16</f>
        <v>0.82569444444444451</v>
      </c>
    </row>
    <row r="33" spans="1:38" ht="21.75" customHeight="1" x14ac:dyDescent="0.4">
      <c r="A33" s="124"/>
      <c r="B33" s="186"/>
      <c r="C33" s="120"/>
      <c r="D33" s="25" t="s">
        <v>52</v>
      </c>
      <c r="E33" s="44"/>
      <c r="F33" s="26"/>
      <c r="G33" s="26" t="s">
        <v>141</v>
      </c>
      <c r="H33" s="26" t="s">
        <v>327</v>
      </c>
      <c r="I33" s="26" t="s">
        <v>91</v>
      </c>
      <c r="J33" s="26" t="s">
        <v>154</v>
      </c>
      <c r="K33" s="26" t="s">
        <v>190</v>
      </c>
      <c r="L33" s="44"/>
      <c r="M33" s="26"/>
      <c r="N33" s="26" t="s">
        <v>328</v>
      </c>
      <c r="O33" s="26" t="s">
        <v>329</v>
      </c>
      <c r="P33" s="126"/>
      <c r="Q33" s="26" t="s">
        <v>330</v>
      </c>
      <c r="R33" s="26" t="s">
        <v>133</v>
      </c>
      <c r="S33" s="44"/>
      <c r="T33" s="26"/>
      <c r="U33" s="184"/>
      <c r="V33" s="184"/>
      <c r="W33" s="184"/>
      <c r="X33" s="26" t="s">
        <v>331</v>
      </c>
      <c r="Y33" s="26" t="s">
        <v>332</v>
      </c>
      <c r="Z33" s="44"/>
      <c r="AA33" s="26"/>
      <c r="AB33" s="26" t="s">
        <v>333</v>
      </c>
      <c r="AC33" s="26" t="s">
        <v>167</v>
      </c>
      <c r="AD33" s="26" t="s">
        <v>195</v>
      </c>
      <c r="AE33" s="26" t="s">
        <v>167</v>
      </c>
      <c r="AF33" s="26" t="s">
        <v>334</v>
      </c>
      <c r="AG33" s="112"/>
      <c r="AH33" s="106"/>
      <c r="AI33" s="108"/>
      <c r="AJ33" s="110"/>
      <c r="AK33" s="111"/>
      <c r="AL33" s="181"/>
    </row>
    <row r="34" spans="1:38" ht="21.75" customHeight="1" x14ac:dyDescent="0.4">
      <c r="A34" s="124"/>
      <c r="B34" s="186" t="s">
        <v>49</v>
      </c>
      <c r="C34" s="120" t="s">
        <v>194</v>
      </c>
      <c r="D34" s="25" t="s">
        <v>51</v>
      </c>
      <c r="E34" s="44"/>
      <c r="F34" s="26"/>
      <c r="G34" s="26" t="s">
        <v>69</v>
      </c>
      <c r="H34" s="26" t="s">
        <v>79</v>
      </c>
      <c r="I34" s="26" t="s">
        <v>149</v>
      </c>
      <c r="J34" s="26" t="s">
        <v>160</v>
      </c>
      <c r="K34" s="26" t="s">
        <v>72</v>
      </c>
      <c r="L34" s="44"/>
      <c r="M34" s="26"/>
      <c r="N34" s="26" t="s">
        <v>68</v>
      </c>
      <c r="O34" s="26" t="s">
        <v>120</v>
      </c>
      <c r="P34" s="26" t="s">
        <v>68</v>
      </c>
      <c r="Q34" s="26" t="s">
        <v>121</v>
      </c>
      <c r="R34" s="26" t="s">
        <v>156</v>
      </c>
      <c r="S34" s="44"/>
      <c r="T34" s="26"/>
      <c r="U34" s="26" t="s">
        <v>72</v>
      </c>
      <c r="V34" s="26" t="s">
        <v>68</v>
      </c>
      <c r="W34" s="29" t="s">
        <v>163</v>
      </c>
      <c r="X34" s="26" t="s">
        <v>79</v>
      </c>
      <c r="Y34" s="26" t="s">
        <v>149</v>
      </c>
      <c r="Z34" s="44"/>
      <c r="AA34" s="26"/>
      <c r="AB34" s="126" t="s">
        <v>176</v>
      </c>
      <c r="AC34" s="26" t="s">
        <v>121</v>
      </c>
      <c r="AD34" s="26" t="s">
        <v>156</v>
      </c>
      <c r="AE34" s="26" t="s">
        <v>68</v>
      </c>
      <c r="AF34" s="29" t="s">
        <v>163</v>
      </c>
      <c r="AG34" s="112"/>
      <c r="AH34" s="106" t="s">
        <v>359</v>
      </c>
      <c r="AI34" s="106"/>
      <c r="AJ34" s="109">
        <v>1</v>
      </c>
      <c r="AK34" s="111">
        <f>(G34+H34+I34+J34+K34+N34+O34+P34+Q34+R34+U34+V34+W34+X34+Y34+AC34+AD34+AE34+AF34)/19</f>
        <v>0.36962719298245605</v>
      </c>
      <c r="AL34" s="181">
        <f>(G35+H35+I35+J35+K35+N35+O35+P35+Q35+R35+U35+V35+X35+Y35+AC35+AD35+AE35+AF35)/18</f>
        <v>0.80042438271604932</v>
      </c>
    </row>
    <row r="35" spans="1:38" ht="21.75" customHeight="1" x14ac:dyDescent="0.4">
      <c r="A35" s="124"/>
      <c r="B35" s="186"/>
      <c r="C35" s="120"/>
      <c r="D35" s="25" t="s">
        <v>52</v>
      </c>
      <c r="E35" s="44"/>
      <c r="F35" s="26"/>
      <c r="G35" s="26" t="s">
        <v>157</v>
      </c>
      <c r="H35" s="26" t="s">
        <v>82</v>
      </c>
      <c r="I35" s="26" t="s">
        <v>295</v>
      </c>
      <c r="J35" s="26" t="s">
        <v>154</v>
      </c>
      <c r="K35" s="26" t="s">
        <v>195</v>
      </c>
      <c r="L35" s="44"/>
      <c r="M35" s="26"/>
      <c r="N35" s="26" t="s">
        <v>289</v>
      </c>
      <c r="O35" s="26" t="s">
        <v>308</v>
      </c>
      <c r="P35" s="26" t="s">
        <v>295</v>
      </c>
      <c r="Q35" s="26" t="s">
        <v>170</v>
      </c>
      <c r="R35" s="26" t="s">
        <v>192</v>
      </c>
      <c r="S35" s="44"/>
      <c r="T35" s="26"/>
      <c r="U35" s="26" t="s">
        <v>310</v>
      </c>
      <c r="V35" s="26" t="s">
        <v>169</v>
      </c>
      <c r="W35" s="26" t="s">
        <v>342</v>
      </c>
      <c r="X35" s="26" t="s">
        <v>343</v>
      </c>
      <c r="Y35" s="26" t="s">
        <v>80</v>
      </c>
      <c r="Z35" s="44"/>
      <c r="AA35" s="26"/>
      <c r="AB35" s="126"/>
      <c r="AC35" s="26" t="s">
        <v>128</v>
      </c>
      <c r="AD35" s="26" t="s">
        <v>127</v>
      </c>
      <c r="AE35" s="26" t="s">
        <v>343</v>
      </c>
      <c r="AF35" s="26" t="s">
        <v>85</v>
      </c>
      <c r="AG35" s="112"/>
      <c r="AH35" s="106"/>
      <c r="AI35" s="106"/>
      <c r="AJ35" s="110"/>
      <c r="AK35" s="111"/>
      <c r="AL35" s="181"/>
    </row>
    <row r="36" spans="1:38" ht="21.75" customHeight="1" x14ac:dyDescent="0.4">
      <c r="A36" s="124"/>
      <c r="B36" s="186" t="s">
        <v>53</v>
      </c>
      <c r="C36" s="120" t="s">
        <v>62</v>
      </c>
      <c r="D36" s="25" t="s">
        <v>51</v>
      </c>
      <c r="E36" s="44"/>
      <c r="F36" s="26"/>
      <c r="G36" s="26" t="s">
        <v>94</v>
      </c>
      <c r="H36" s="26" t="s">
        <v>73</v>
      </c>
      <c r="I36" s="26" t="s">
        <v>149</v>
      </c>
      <c r="J36" s="26" t="s">
        <v>69</v>
      </c>
      <c r="K36" s="26" t="s">
        <v>75</v>
      </c>
      <c r="L36" s="44"/>
      <c r="M36" s="26"/>
      <c r="N36" s="26" t="s">
        <v>72</v>
      </c>
      <c r="O36" s="26" t="s">
        <v>74</v>
      </c>
      <c r="P36" s="26" t="s">
        <v>78</v>
      </c>
      <c r="Q36" s="26" t="s">
        <v>137</v>
      </c>
      <c r="R36" s="26" t="s">
        <v>120</v>
      </c>
      <c r="S36" s="44"/>
      <c r="T36" s="26"/>
      <c r="U36" s="26" t="s">
        <v>94</v>
      </c>
      <c r="V36" s="26" t="s">
        <v>69</v>
      </c>
      <c r="W36" s="26" t="s">
        <v>72</v>
      </c>
      <c r="X36" s="26" t="s">
        <v>120</v>
      </c>
      <c r="Y36" s="26" t="s">
        <v>72</v>
      </c>
      <c r="Z36" s="44"/>
      <c r="AA36" s="26"/>
      <c r="AB36" s="26" t="s">
        <v>74</v>
      </c>
      <c r="AC36" s="26" t="s">
        <v>78</v>
      </c>
      <c r="AD36" s="26" t="s">
        <v>72</v>
      </c>
      <c r="AE36" s="26" t="s">
        <v>68</v>
      </c>
      <c r="AF36" s="26" t="s">
        <v>121</v>
      </c>
      <c r="AG36" s="112"/>
      <c r="AH36" s="106"/>
      <c r="AI36" s="106"/>
      <c r="AJ36" s="109">
        <v>0.5</v>
      </c>
      <c r="AK36" s="111">
        <f>(G36+H36+I36+J36+K36+N36+O36+P36+Q36+R36+U36+V36+W36+X36+Y36+AB36+AC36+AD36+AE36+AF36)/20</f>
        <v>0.3639236111111111</v>
      </c>
      <c r="AL36" s="181">
        <f>(G37+H37+I37+J37+K37+N37+P37+Q37+R37+U37+V37+X37+Y37+AB37+AC37+AD37+AE37+AF37)/18</f>
        <v>0.78476080246913571</v>
      </c>
    </row>
    <row r="37" spans="1:38" ht="21.75" customHeight="1" x14ac:dyDescent="0.4">
      <c r="A37" s="124"/>
      <c r="B37" s="186"/>
      <c r="C37" s="120"/>
      <c r="D37" s="25" t="s">
        <v>52</v>
      </c>
      <c r="E37" s="44"/>
      <c r="F37" s="26"/>
      <c r="G37" s="26" t="s">
        <v>101</v>
      </c>
      <c r="H37" s="26" t="s">
        <v>91</v>
      </c>
      <c r="I37" s="26" t="s">
        <v>101</v>
      </c>
      <c r="J37" s="26" t="s">
        <v>86</v>
      </c>
      <c r="K37" s="26" t="s">
        <v>87</v>
      </c>
      <c r="L37" s="44"/>
      <c r="M37" s="26"/>
      <c r="N37" s="26" t="s">
        <v>150</v>
      </c>
      <c r="O37" s="41" t="s">
        <v>279</v>
      </c>
      <c r="P37" s="26" t="s">
        <v>86</v>
      </c>
      <c r="Q37" s="26" t="s">
        <v>101</v>
      </c>
      <c r="R37" s="26" t="s">
        <v>105</v>
      </c>
      <c r="S37" s="44"/>
      <c r="T37" s="26"/>
      <c r="U37" s="26" t="s">
        <v>157</v>
      </c>
      <c r="V37" s="26" t="s">
        <v>146</v>
      </c>
      <c r="W37" s="26" t="s">
        <v>337</v>
      </c>
      <c r="X37" s="26" t="s">
        <v>101</v>
      </c>
      <c r="Y37" s="26" t="s">
        <v>86</v>
      </c>
      <c r="Z37" s="44"/>
      <c r="AA37" s="26"/>
      <c r="AB37" s="26" t="s">
        <v>101</v>
      </c>
      <c r="AC37" s="26" t="s">
        <v>150</v>
      </c>
      <c r="AD37" s="26" t="s">
        <v>306</v>
      </c>
      <c r="AE37" s="26" t="s">
        <v>167</v>
      </c>
      <c r="AF37" s="26" t="s">
        <v>101</v>
      </c>
      <c r="AG37" s="112"/>
      <c r="AH37" s="106"/>
      <c r="AI37" s="106"/>
      <c r="AJ37" s="110"/>
      <c r="AK37" s="111"/>
      <c r="AL37" s="181"/>
    </row>
    <row r="38" spans="1:38" ht="21.75" customHeight="1" x14ac:dyDescent="0.4">
      <c r="A38" s="124"/>
      <c r="B38" s="186" t="s">
        <v>56</v>
      </c>
      <c r="C38" s="120" t="s">
        <v>210</v>
      </c>
      <c r="D38" s="25" t="s">
        <v>51</v>
      </c>
      <c r="E38" s="44"/>
      <c r="F38" s="26"/>
      <c r="G38" s="26" t="s">
        <v>110</v>
      </c>
      <c r="H38" s="26" t="s">
        <v>137</v>
      </c>
      <c r="I38" s="26" t="s">
        <v>311</v>
      </c>
      <c r="J38" s="26" t="s">
        <v>124</v>
      </c>
      <c r="K38" s="26" t="s">
        <v>311</v>
      </c>
      <c r="L38" s="44"/>
      <c r="M38" s="26"/>
      <c r="N38" s="26" t="s">
        <v>124</v>
      </c>
      <c r="O38" s="26" t="s">
        <v>73</v>
      </c>
      <c r="P38" s="26" t="s">
        <v>137</v>
      </c>
      <c r="Q38" s="126" t="s">
        <v>176</v>
      </c>
      <c r="R38" s="26" t="s">
        <v>77</v>
      </c>
      <c r="S38" s="44"/>
      <c r="T38" s="26"/>
      <c r="U38" s="26" t="s">
        <v>137</v>
      </c>
      <c r="V38" s="26" t="s">
        <v>110</v>
      </c>
      <c r="W38" s="26" t="s">
        <v>77</v>
      </c>
      <c r="X38" s="26" t="s">
        <v>124</v>
      </c>
      <c r="Y38" s="26" t="s">
        <v>77</v>
      </c>
      <c r="Z38" s="44"/>
      <c r="AA38" s="26"/>
      <c r="AB38" s="26" t="s">
        <v>77</v>
      </c>
      <c r="AC38" s="26" t="s">
        <v>77</v>
      </c>
      <c r="AD38" s="126" t="s">
        <v>176</v>
      </c>
      <c r="AE38" s="26" t="s">
        <v>77</v>
      </c>
      <c r="AF38" s="26" t="s">
        <v>137</v>
      </c>
      <c r="AG38" s="112"/>
      <c r="AH38" s="106"/>
      <c r="AI38" s="107"/>
      <c r="AJ38" s="109">
        <v>2</v>
      </c>
      <c r="AK38" s="111">
        <f>(G38+H38+I38+J38+K38+N38+O38+P38+R38+U38+V38+W38+X38+Y38+AB38+AC38+AE38+AF38)/18</f>
        <v>0.35227623456790119</v>
      </c>
      <c r="AL38" s="181">
        <f>(G39+H39+I39+J39+K39+N39+O39+P39+R39+U39+V39+X39+Y39+AB39+AC39+AE39+AF39)/17</f>
        <v>0.78100490196078443</v>
      </c>
    </row>
    <row r="39" spans="1:38" ht="21.75" customHeight="1" x14ac:dyDescent="0.4">
      <c r="A39" s="124"/>
      <c r="B39" s="186"/>
      <c r="C39" s="120"/>
      <c r="D39" s="25" t="s">
        <v>52</v>
      </c>
      <c r="E39" s="44"/>
      <c r="F39" s="26"/>
      <c r="G39" s="26" t="s">
        <v>83</v>
      </c>
      <c r="H39" s="26" t="s">
        <v>91</v>
      </c>
      <c r="I39" s="26" t="s">
        <v>157</v>
      </c>
      <c r="J39" s="26" t="s">
        <v>86</v>
      </c>
      <c r="K39" s="26" t="s">
        <v>91</v>
      </c>
      <c r="L39" s="44"/>
      <c r="M39" s="26"/>
      <c r="N39" s="26" t="s">
        <v>147</v>
      </c>
      <c r="O39" s="26" t="s">
        <v>101</v>
      </c>
      <c r="P39" s="26" t="s">
        <v>151</v>
      </c>
      <c r="Q39" s="126"/>
      <c r="R39" s="26" t="s">
        <v>90</v>
      </c>
      <c r="S39" s="44"/>
      <c r="T39" s="26"/>
      <c r="U39" s="26" t="s">
        <v>240</v>
      </c>
      <c r="V39" s="26" t="s">
        <v>166</v>
      </c>
      <c r="W39" s="26" t="s">
        <v>344</v>
      </c>
      <c r="X39" s="26" t="s">
        <v>154</v>
      </c>
      <c r="Y39" s="26" t="s">
        <v>173</v>
      </c>
      <c r="Z39" s="44"/>
      <c r="AA39" s="26"/>
      <c r="AB39" s="26" t="s">
        <v>123</v>
      </c>
      <c r="AC39" s="26" t="s">
        <v>98</v>
      </c>
      <c r="AD39" s="126"/>
      <c r="AE39" s="26" t="s">
        <v>84</v>
      </c>
      <c r="AF39" s="26" t="s">
        <v>101</v>
      </c>
      <c r="AG39" s="112"/>
      <c r="AH39" s="106"/>
      <c r="AI39" s="108"/>
      <c r="AJ39" s="110"/>
      <c r="AK39" s="111"/>
      <c r="AL39" s="181"/>
    </row>
    <row r="40" spans="1:38" ht="21.75" customHeight="1" x14ac:dyDescent="0.4">
      <c r="A40" s="124"/>
      <c r="B40" s="186" t="s">
        <v>56</v>
      </c>
      <c r="C40" s="120" t="s">
        <v>227</v>
      </c>
      <c r="D40" s="25" t="s">
        <v>51</v>
      </c>
      <c r="E40" s="44"/>
      <c r="F40" s="26"/>
      <c r="G40" s="26" t="s">
        <v>120</v>
      </c>
      <c r="H40" s="26" t="s">
        <v>121</v>
      </c>
      <c r="I40" s="26" t="s">
        <v>156</v>
      </c>
      <c r="J40" s="26" t="s">
        <v>121</v>
      </c>
      <c r="K40" s="26" t="s">
        <v>156</v>
      </c>
      <c r="L40" s="44"/>
      <c r="M40" s="26"/>
      <c r="N40" s="26" t="s">
        <v>121</v>
      </c>
      <c r="O40" s="26" t="s">
        <v>120</v>
      </c>
      <c r="P40" s="26" t="s">
        <v>135</v>
      </c>
      <c r="Q40" s="26" t="s">
        <v>120</v>
      </c>
      <c r="R40" s="26" t="s">
        <v>120</v>
      </c>
      <c r="S40" s="44"/>
      <c r="T40" s="26"/>
      <c r="U40" s="26" t="s">
        <v>121</v>
      </c>
      <c r="V40" s="26" t="s">
        <v>135</v>
      </c>
      <c r="W40" s="26" t="s">
        <v>71</v>
      </c>
      <c r="X40" s="26" t="s">
        <v>135</v>
      </c>
      <c r="Y40" s="26" t="s">
        <v>121</v>
      </c>
      <c r="Z40" s="44"/>
      <c r="AA40" s="26"/>
      <c r="AB40" s="26" t="s">
        <v>69</v>
      </c>
      <c r="AC40" s="26" t="s">
        <v>71</v>
      </c>
      <c r="AD40" s="26" t="s">
        <v>121</v>
      </c>
      <c r="AE40" s="26" t="s">
        <v>121</v>
      </c>
      <c r="AF40" s="26" t="s">
        <v>121</v>
      </c>
      <c r="AG40" s="112"/>
      <c r="AH40" s="106"/>
      <c r="AI40" s="107"/>
      <c r="AJ40" s="109">
        <v>0.5</v>
      </c>
      <c r="AK40" s="111">
        <f>(G40+H40+I40+J40+K40+N40+O40+P40+Q40+R40+U40+V40+W40+X40+Y40+AB40+AC40+AD40+AE40+AF40)/20</f>
        <v>0.36930555555555561</v>
      </c>
      <c r="AL40" s="181">
        <f>(G41+H41+I41+J41+K41+N41+O41+P41+Q41+U41+V41+X41+Y41+AB41+AC41+AD41+AE41+AF41)/18</f>
        <v>0.77750771604938251</v>
      </c>
    </row>
    <row r="41" spans="1:38" ht="21.75" customHeight="1" thickBot="1" x14ac:dyDescent="0.45">
      <c r="A41" s="125"/>
      <c r="B41" s="187"/>
      <c r="C41" s="121"/>
      <c r="D41" s="31" t="s">
        <v>52</v>
      </c>
      <c r="E41" s="45"/>
      <c r="F41" s="32"/>
      <c r="G41" s="32" t="s">
        <v>83</v>
      </c>
      <c r="H41" s="32" t="s">
        <v>101</v>
      </c>
      <c r="I41" s="32" t="s">
        <v>85</v>
      </c>
      <c r="J41" s="32" t="s">
        <v>103</v>
      </c>
      <c r="K41" s="32" t="s">
        <v>85</v>
      </c>
      <c r="L41" s="45"/>
      <c r="M41" s="32"/>
      <c r="N41" s="32" t="s">
        <v>327</v>
      </c>
      <c r="O41" s="32" t="s">
        <v>103</v>
      </c>
      <c r="P41" s="32" t="s">
        <v>80</v>
      </c>
      <c r="Q41" s="32" t="s">
        <v>80</v>
      </c>
      <c r="R41" s="63" t="s">
        <v>279</v>
      </c>
      <c r="S41" s="45"/>
      <c r="T41" s="32"/>
      <c r="U41" s="32" t="s">
        <v>89</v>
      </c>
      <c r="V41" s="32" t="s">
        <v>80</v>
      </c>
      <c r="W41" s="32" t="s">
        <v>347</v>
      </c>
      <c r="X41" s="32" t="s">
        <v>101</v>
      </c>
      <c r="Y41" s="32" t="s">
        <v>103</v>
      </c>
      <c r="Z41" s="45"/>
      <c r="AA41" s="32"/>
      <c r="AB41" s="32" t="s">
        <v>80</v>
      </c>
      <c r="AC41" s="32" t="s">
        <v>101</v>
      </c>
      <c r="AD41" s="32" t="s">
        <v>91</v>
      </c>
      <c r="AE41" s="32" t="s">
        <v>167</v>
      </c>
      <c r="AF41" s="32" t="s">
        <v>101</v>
      </c>
      <c r="AG41" s="122"/>
      <c r="AH41" s="167"/>
      <c r="AI41" s="144"/>
      <c r="AJ41" s="173"/>
      <c r="AK41" s="188"/>
      <c r="AL41" s="189"/>
    </row>
    <row r="42" spans="1:38" x14ac:dyDescent="0.4">
      <c r="AJ42" s="36">
        <f>SUM(AJ4:AJ41)</f>
        <v>12.5</v>
      </c>
    </row>
  </sheetData>
  <mergeCells count="180">
    <mergeCell ref="A4:A15"/>
    <mergeCell ref="B4:B5"/>
    <mergeCell ref="C4:C5"/>
    <mergeCell ref="A1:C1"/>
    <mergeCell ref="D1:I1"/>
    <mergeCell ref="A2:A3"/>
    <mergeCell ref="B2:B3"/>
    <mergeCell ref="C2:C3"/>
    <mergeCell ref="AG2:AG3"/>
    <mergeCell ref="AG4:AG5"/>
    <mergeCell ref="B10:B11"/>
    <mergeCell ref="C10:C11"/>
    <mergeCell ref="AG10:AG11"/>
    <mergeCell ref="AH4:AH5"/>
    <mergeCell ref="AI4:AI5"/>
    <mergeCell ref="AJ4:AJ5"/>
    <mergeCell ref="AK4:AK5"/>
    <mergeCell ref="AL4:AL5"/>
    <mergeCell ref="AH2:AH3"/>
    <mergeCell ref="AI2:AI3"/>
    <mergeCell ref="AJ2:AJ3"/>
    <mergeCell ref="AK2:AK3"/>
    <mergeCell ref="AL2:AL3"/>
    <mergeCell ref="AJ6:AJ7"/>
    <mergeCell ref="AK6:AK7"/>
    <mergeCell ref="AL6:AL7"/>
    <mergeCell ref="B8:B9"/>
    <mergeCell ref="C8:C9"/>
    <mergeCell ref="AG8:AG9"/>
    <mergeCell ref="AH8:AH9"/>
    <mergeCell ref="AI8:AI9"/>
    <mergeCell ref="AJ8:AJ9"/>
    <mergeCell ref="B6:B7"/>
    <mergeCell ref="C6:C7"/>
    <mergeCell ref="AG6:AG7"/>
    <mergeCell ref="AH6:AH7"/>
    <mergeCell ref="AI6:AI7"/>
    <mergeCell ref="P6:P7"/>
    <mergeCell ref="AK8:AK9"/>
    <mergeCell ref="AL8:AL9"/>
    <mergeCell ref="G8:G9"/>
    <mergeCell ref="AH10:AH11"/>
    <mergeCell ref="AI10:AI11"/>
    <mergeCell ref="AJ10:AJ11"/>
    <mergeCell ref="AK10:AK11"/>
    <mergeCell ref="AL10:AL11"/>
    <mergeCell ref="B12:B13"/>
    <mergeCell ref="C12:C13"/>
    <mergeCell ref="AG12:AG13"/>
    <mergeCell ref="AH12:AH13"/>
    <mergeCell ref="AI12:AI13"/>
    <mergeCell ref="AJ12:AJ13"/>
    <mergeCell ref="AK12:AK13"/>
    <mergeCell ref="AL12:AL13"/>
    <mergeCell ref="H12:AF13"/>
    <mergeCell ref="B16:B17"/>
    <mergeCell ref="C16:C17"/>
    <mergeCell ref="AG16:AG17"/>
    <mergeCell ref="AH16:AH17"/>
    <mergeCell ref="AI16:AI17"/>
    <mergeCell ref="AJ16:AJ17"/>
    <mergeCell ref="AK16:AK17"/>
    <mergeCell ref="AL16:AL17"/>
    <mergeCell ref="B14:B15"/>
    <mergeCell ref="C14:C15"/>
    <mergeCell ref="AG14:AG15"/>
    <mergeCell ref="AH14:AH15"/>
    <mergeCell ref="AI14:AI15"/>
    <mergeCell ref="AJ14:AJ15"/>
    <mergeCell ref="B22:B23"/>
    <mergeCell ref="C22:C23"/>
    <mergeCell ref="AG22:AG23"/>
    <mergeCell ref="AH22:AH23"/>
    <mergeCell ref="AI22:AI23"/>
    <mergeCell ref="AJ22:AJ23"/>
    <mergeCell ref="AK22:AK23"/>
    <mergeCell ref="AL22:AL23"/>
    <mergeCell ref="AI18:AI19"/>
    <mergeCell ref="AJ18:AJ19"/>
    <mergeCell ref="AK18:AK19"/>
    <mergeCell ref="AL18:AL19"/>
    <mergeCell ref="B20:B21"/>
    <mergeCell ref="C20:C21"/>
    <mergeCell ref="AG20:AG21"/>
    <mergeCell ref="AH20:AH21"/>
    <mergeCell ref="AI20:AI21"/>
    <mergeCell ref="AJ20:AJ21"/>
    <mergeCell ref="B18:B19"/>
    <mergeCell ref="C18:C19"/>
    <mergeCell ref="AG18:AG19"/>
    <mergeCell ref="AH18:AH19"/>
    <mergeCell ref="Y22:Y23"/>
    <mergeCell ref="AK20:AK21"/>
    <mergeCell ref="A30:A41"/>
    <mergeCell ref="B30:B31"/>
    <mergeCell ref="C30:C31"/>
    <mergeCell ref="AG30:AG31"/>
    <mergeCell ref="AH30:AH31"/>
    <mergeCell ref="AI30:AI31"/>
    <mergeCell ref="AJ30:AJ31"/>
    <mergeCell ref="AI26:AI27"/>
    <mergeCell ref="AJ26:AJ27"/>
    <mergeCell ref="B28:B29"/>
    <mergeCell ref="C28:C29"/>
    <mergeCell ref="AG28:AG29"/>
    <mergeCell ref="AH28:AH29"/>
    <mergeCell ref="AI28:AI29"/>
    <mergeCell ref="AJ28:AJ29"/>
    <mergeCell ref="B26:B27"/>
    <mergeCell ref="C26:C27"/>
    <mergeCell ref="AG26:AG27"/>
    <mergeCell ref="AH26:AH27"/>
    <mergeCell ref="A18:A29"/>
    <mergeCell ref="B24:B25"/>
    <mergeCell ref="C24:C25"/>
    <mergeCell ref="AG24:AG25"/>
    <mergeCell ref="AH24:AH25"/>
    <mergeCell ref="B32:B33"/>
    <mergeCell ref="C32:C33"/>
    <mergeCell ref="AG32:AG33"/>
    <mergeCell ref="AH32:AH33"/>
    <mergeCell ref="AI32:AI33"/>
    <mergeCell ref="AJ32:AJ33"/>
    <mergeCell ref="AK32:AK33"/>
    <mergeCell ref="AK28:AK29"/>
    <mergeCell ref="AL28:AL29"/>
    <mergeCell ref="B34:B35"/>
    <mergeCell ref="C34:C35"/>
    <mergeCell ref="AG34:AG35"/>
    <mergeCell ref="AH34:AH35"/>
    <mergeCell ref="AI34:AI35"/>
    <mergeCell ref="AJ34:AJ35"/>
    <mergeCell ref="AK34:AK35"/>
    <mergeCell ref="AL34:AL35"/>
    <mergeCell ref="AB34:AB35"/>
    <mergeCell ref="B40:B41"/>
    <mergeCell ref="C40:C41"/>
    <mergeCell ref="AG40:AG41"/>
    <mergeCell ref="AH40:AH41"/>
    <mergeCell ref="AI40:AI41"/>
    <mergeCell ref="AJ40:AJ41"/>
    <mergeCell ref="AK40:AK41"/>
    <mergeCell ref="AK36:AK37"/>
    <mergeCell ref="AL36:AL37"/>
    <mergeCell ref="B38:B39"/>
    <mergeCell ref="C38:C39"/>
    <mergeCell ref="Q38:Q39"/>
    <mergeCell ref="AG38:AG39"/>
    <mergeCell ref="AH38:AH39"/>
    <mergeCell ref="AI38:AI39"/>
    <mergeCell ref="B36:B37"/>
    <mergeCell ref="C36:C37"/>
    <mergeCell ref="AG36:AG37"/>
    <mergeCell ref="AH36:AH37"/>
    <mergeCell ref="AI36:AI37"/>
    <mergeCell ref="AJ36:AJ37"/>
    <mergeCell ref="AL40:AL41"/>
    <mergeCell ref="AC24:AF25"/>
    <mergeCell ref="AL20:AL21"/>
    <mergeCell ref="AK14:AK15"/>
    <mergeCell ref="AL14:AL15"/>
    <mergeCell ref="R24:R25"/>
    <mergeCell ref="AD38:AD39"/>
    <mergeCell ref="K28:K29"/>
    <mergeCell ref="AJ38:AJ39"/>
    <mergeCell ref="AK38:AK39"/>
    <mergeCell ref="AL38:AL39"/>
    <mergeCell ref="AL32:AL33"/>
    <mergeCell ref="AK30:AK31"/>
    <mergeCell ref="AL30:AL31"/>
    <mergeCell ref="AK26:AK27"/>
    <mergeCell ref="AL26:AL27"/>
    <mergeCell ref="AI24:AI25"/>
    <mergeCell ref="AJ24:AJ25"/>
    <mergeCell ref="AK24:AK25"/>
    <mergeCell ref="AL24:AL25"/>
    <mergeCell ref="AF20:AF21"/>
    <mergeCell ref="P32:P33"/>
    <mergeCell ref="U32:W33"/>
    <mergeCell ref="U18:W19"/>
  </mergeCells>
  <phoneticPr fontId="5" type="noConversion"/>
  <conditionalFormatting sqref="E4:E17">
    <cfRule type="expression" dxfId="871" priority="233">
      <formula>OR(WEEKDAY(E$3)=7,WEEKDAY(E$3)=1)</formula>
    </cfRule>
  </conditionalFormatting>
  <conditionalFormatting sqref="E31:E37">
    <cfRule type="expression" dxfId="870" priority="219">
      <formula>OR(WEEKDAY(E$3)=7,WEEKDAY(E$3)=1)</formula>
    </cfRule>
  </conditionalFormatting>
  <conditionalFormatting sqref="E20:F29">
    <cfRule type="expression" dxfId="869" priority="124">
      <formula>OR(WEEKDAY(E$3)=7,WEEKDAY(E$3)=1)</formula>
    </cfRule>
  </conditionalFormatting>
  <conditionalFormatting sqref="E32:F33 E38:F41">
    <cfRule type="expression" dxfId="868" priority="324">
      <formula>OR(WEEKDAY(E$3)=7,WEEKDAY(E$3)=1)</formula>
    </cfRule>
  </conditionalFormatting>
  <conditionalFormatting sqref="E30:J30">
    <cfRule type="expression" dxfId="867" priority="329">
      <formula>OR(WEEKDAY(E$3)=7,WEEKDAY(E$3)=1)</formula>
    </cfRule>
  </conditionalFormatting>
  <conditionalFormatting sqref="E2:AF3 K30:K31 U30:Y31 AB30:AF31">
    <cfRule type="expression" dxfId="866" priority="317">
      <formula>OR(WEEKDAY(E$3)=7,WEEKDAY(E$3)=1)</formula>
    </cfRule>
  </conditionalFormatting>
  <conditionalFormatting sqref="E3:AF3">
    <cfRule type="expression" dxfId="865" priority="330">
      <formula>WEEKDAY(E3)=1</formula>
    </cfRule>
    <cfRule type="expression" dxfId="864" priority="331">
      <formula>WEEKDAY(E3)=7</formula>
    </cfRule>
  </conditionalFormatting>
  <conditionalFormatting sqref="F8:F17">
    <cfRule type="expression" dxfId="863" priority="269">
      <formula>OR(WEEKDAY(F$3)=7,WEEKDAY(F$3)=1)</formula>
    </cfRule>
  </conditionalFormatting>
  <conditionalFormatting sqref="F31:F32">
    <cfRule type="expression" dxfId="862" priority="323">
      <formula>OR(WEEKDAY(F$3)=7,WEEKDAY(F$3)=1)</formula>
    </cfRule>
  </conditionalFormatting>
  <conditionalFormatting sqref="F34:F37">
    <cfRule type="expression" dxfId="861" priority="218">
      <formula>OR(WEEKDAY(F$3)=7,WEEKDAY(F$3)=1)</formula>
    </cfRule>
  </conditionalFormatting>
  <conditionalFormatting sqref="F4:K7">
    <cfRule type="expression" dxfId="860" priority="245">
      <formula>OR(WEEKDAY(F$3)=7,WEEKDAY(F$3)=1)</formula>
    </cfRule>
  </conditionalFormatting>
  <conditionalFormatting sqref="G8">
    <cfRule type="expression" dxfId="859" priority="107">
      <formula>OR(WEEKDAY(G$3)=7,WEEKDAY(G$3)=1)</formula>
    </cfRule>
  </conditionalFormatting>
  <conditionalFormatting sqref="G13">
    <cfRule type="expression" dxfId="858" priority="81">
      <formula>OR(WEEKDAY(G$3)=7,WEEKDAY(G$3)=1)</formula>
    </cfRule>
  </conditionalFormatting>
  <conditionalFormatting sqref="G31:J31">
    <cfRule type="expression" dxfId="857" priority="307">
      <formula>OR(WEEKDAY(G$3)=7,WEEKDAY(G$3)=1)</formula>
    </cfRule>
  </conditionalFormatting>
  <conditionalFormatting sqref="G20:K21">
    <cfRule type="expression" dxfId="856" priority="315">
      <formula>OR(WEEKDAY(G$3)=7,WEEKDAY(G$3)=1)</formula>
    </cfRule>
  </conditionalFormatting>
  <conditionalFormatting sqref="H12">
    <cfRule type="expression" dxfId="855" priority="287">
      <formula>OR(WEEKDAY(H$3)=7,WEEKDAY(H$3)=1)</formula>
    </cfRule>
  </conditionalFormatting>
  <conditionalFormatting sqref="J23">
    <cfRule type="expression" dxfId="854" priority="93">
      <formula>OR(WEEKDAY(J$3)=7,WEEKDAY(J$3)=1)</formula>
    </cfRule>
  </conditionalFormatting>
  <conditionalFormatting sqref="K28">
    <cfRule type="expression" dxfId="853" priority="82">
      <formula>OR(WEEKDAY(K$3)=7,WEEKDAY(K$3)=1)</formula>
    </cfRule>
  </conditionalFormatting>
  <conditionalFormatting sqref="L31:L37">
    <cfRule type="expression" dxfId="852" priority="21">
      <formula>OR(WEEKDAY(L$3)=7,WEEKDAY(L$3)=1)</formula>
    </cfRule>
  </conditionalFormatting>
  <conditionalFormatting sqref="L4:M11">
    <cfRule type="expression" dxfId="851" priority="71">
      <formula>OR(WEEKDAY(L$3)=7,WEEKDAY(L$3)=1)</formula>
    </cfRule>
  </conditionalFormatting>
  <conditionalFormatting sqref="L14:M30">
    <cfRule type="expression" dxfId="850" priority="26">
      <formula>OR(WEEKDAY(L$3)=7,WEEKDAY(L$3)=1)</formula>
    </cfRule>
  </conditionalFormatting>
  <conditionalFormatting sqref="L32:M33 L38:M41">
    <cfRule type="expression" dxfId="849" priority="25">
      <formula>OR(WEEKDAY(L$3)=7,WEEKDAY(L$3)=1)</formula>
    </cfRule>
  </conditionalFormatting>
  <conditionalFormatting sqref="M31:M32">
    <cfRule type="expression" dxfId="848" priority="24">
      <formula>OR(WEEKDAY(M$3)=7,WEEKDAY(M$3)=1)</formula>
    </cfRule>
  </conditionalFormatting>
  <conditionalFormatting sqref="M34:M37">
    <cfRule type="expression" dxfId="847" priority="20">
      <formula>OR(WEEKDAY(M$3)=7,WEEKDAY(M$3)=1)</formula>
    </cfRule>
  </conditionalFormatting>
  <conditionalFormatting sqref="N6:O7 Q6:R7">
    <cfRule type="expression" dxfId="846" priority="266">
      <formula>OR(WEEKDAY(N$3)=7,WEEKDAY(N$3)=1)</formula>
    </cfRule>
  </conditionalFormatting>
  <conditionalFormatting sqref="N4:R5">
    <cfRule type="expression" dxfId="845" priority="302">
      <formula>OR(WEEKDAY(N$3)=7,WEEKDAY(N$3)=1)</formula>
    </cfRule>
  </conditionalFormatting>
  <conditionalFormatting sqref="N18:R21">
    <cfRule type="expression" dxfId="844" priority="127">
      <formula>OR(WEEKDAY(N$3)=7,WEEKDAY(N$3)=1)</formula>
    </cfRule>
  </conditionalFormatting>
  <conditionalFormatting sqref="N30:R31">
    <cfRule type="expression" dxfId="843" priority="1">
      <formula>OR(WEEKDAY(N$3)=7,WEEKDAY(N$3)=1)</formula>
    </cfRule>
  </conditionalFormatting>
  <conditionalFormatting sqref="O37">
    <cfRule type="expression" dxfId="842" priority="88">
      <formula>OR(WEEKDAY(O$3)=7,WEEKDAY(O$3)=1)</formula>
    </cfRule>
  </conditionalFormatting>
  <conditionalFormatting sqref="P6">
    <cfRule type="expression" dxfId="841" priority="95">
      <formula>OR(WEEKDAY(P$3)=7,WEEKDAY(P$3)=1)</formula>
    </cfRule>
  </conditionalFormatting>
  <conditionalFormatting sqref="P32">
    <cfRule type="expression" dxfId="840" priority="91">
      <formula>OR(WEEKDAY(P$3)=7,WEEKDAY(P$3)=1)</formula>
    </cfRule>
  </conditionalFormatting>
  <conditionalFormatting sqref="Q38">
    <cfRule type="expression" dxfId="839" priority="86">
      <formula>OR(WEEKDAY(Q$3)=7,WEEKDAY(Q$3)=1)</formula>
    </cfRule>
  </conditionalFormatting>
  <conditionalFormatting sqref="R24">
    <cfRule type="expression" dxfId="838" priority="89">
      <formula>OR(WEEKDAY(R$3)=7,WEEKDAY(R$3)=1)</formula>
    </cfRule>
  </conditionalFormatting>
  <conditionalFormatting sqref="R27">
    <cfRule type="expression" dxfId="837" priority="84">
      <formula>OR(WEEKDAY(R$3)=7,WEEKDAY(R$3)=1)</formula>
    </cfRule>
  </conditionalFormatting>
  <conditionalFormatting sqref="R41">
    <cfRule type="expression" dxfId="836" priority="83">
      <formula>OR(WEEKDAY(R$3)=7,WEEKDAY(R$3)=1)</formula>
    </cfRule>
  </conditionalFormatting>
  <conditionalFormatting sqref="S31:S37">
    <cfRule type="expression" dxfId="835" priority="14">
      <formula>OR(WEEKDAY(S$3)=7,WEEKDAY(S$3)=1)</formula>
    </cfRule>
  </conditionalFormatting>
  <conditionalFormatting sqref="S4:T11">
    <cfRule type="expression" dxfId="834" priority="61">
      <formula>OR(WEEKDAY(S$3)=7,WEEKDAY(S$3)=1)</formula>
    </cfRule>
  </conditionalFormatting>
  <conditionalFormatting sqref="S14:T30">
    <cfRule type="expression" dxfId="833" priority="19">
      <formula>OR(WEEKDAY(S$3)=7,WEEKDAY(S$3)=1)</formula>
    </cfRule>
  </conditionalFormatting>
  <conditionalFormatting sqref="S32:T33 S38:T41">
    <cfRule type="expression" dxfId="832" priority="18">
      <formula>OR(WEEKDAY(S$3)=7,WEEKDAY(S$3)=1)</formula>
    </cfRule>
  </conditionalFormatting>
  <conditionalFormatting sqref="T31:T32">
    <cfRule type="expression" dxfId="831" priority="17">
      <formula>OR(WEEKDAY(T$3)=7,WEEKDAY(T$3)=1)</formula>
    </cfRule>
  </conditionalFormatting>
  <conditionalFormatting sqref="T34:T37">
    <cfRule type="expression" dxfId="830" priority="13">
      <formula>OR(WEEKDAY(T$3)=7,WEEKDAY(T$3)=1)</formula>
    </cfRule>
  </conditionalFormatting>
  <conditionalFormatting sqref="U9">
    <cfRule type="expression" dxfId="829" priority="90">
      <formula>OR(WEEKDAY(U$3)=7,WEEKDAY(U$3)=1)</formula>
    </cfRule>
  </conditionalFormatting>
  <conditionalFormatting sqref="U18 E18:K19 X18:Y19 AB18:AF19">
    <cfRule type="expression" dxfId="828" priority="309">
      <formula>OR(WEEKDAY(E$3)=7,WEEKDAY(E$3)=1)</formula>
    </cfRule>
  </conditionalFormatting>
  <conditionalFormatting sqref="U21">
    <cfRule type="expression" dxfId="827" priority="319">
      <formula>OR(WEEKDAY(U$3)=7,WEEKDAY(U$3)=1)</formula>
    </cfRule>
  </conditionalFormatting>
  <conditionalFormatting sqref="U32">
    <cfRule type="expression" dxfId="826" priority="5">
      <formula>OR(WEEKDAY(U$3)=7,WEEKDAY(U$3)=1)</formula>
    </cfRule>
  </conditionalFormatting>
  <conditionalFormatting sqref="U20:V20">
    <cfRule type="expression" dxfId="825" priority="327">
      <formula>OR(WEEKDAY(U$3)=7,WEEKDAY(U$3)=1)</formula>
    </cfRule>
  </conditionalFormatting>
  <conditionalFormatting sqref="U4:Y7">
    <cfRule type="expression" dxfId="824" priority="3">
      <formula>OR(WEEKDAY(U$3)=7,WEEKDAY(U$3)=1)</formula>
    </cfRule>
  </conditionalFormatting>
  <conditionalFormatting sqref="V20:Y21">
    <cfRule type="expression" dxfId="823" priority="311">
      <formula>OR(WEEKDAY(V$3)=7,WEEKDAY(V$3)=1)</formula>
    </cfRule>
  </conditionalFormatting>
  <conditionalFormatting sqref="Y22">
    <cfRule type="expression" dxfId="822" priority="92">
      <formula>OR(WEEKDAY(Y$3)=7,WEEKDAY(Y$3)=1)</formula>
    </cfRule>
  </conditionalFormatting>
  <conditionalFormatting sqref="Z31:Z37">
    <cfRule type="expression" dxfId="821" priority="7">
      <formula>OR(WEEKDAY(Z$3)=7,WEEKDAY(Z$3)=1)</formula>
    </cfRule>
  </conditionalFormatting>
  <conditionalFormatting sqref="Z4:AA11">
    <cfRule type="expression" dxfId="820" priority="51">
      <formula>OR(WEEKDAY(Z$3)=7,WEEKDAY(Z$3)=1)</formula>
    </cfRule>
  </conditionalFormatting>
  <conditionalFormatting sqref="Z14:AA30">
    <cfRule type="expression" dxfId="819" priority="12">
      <formula>OR(WEEKDAY(Z$3)=7,WEEKDAY(Z$3)=1)</formula>
    </cfRule>
  </conditionalFormatting>
  <conditionalFormatting sqref="Z32:AA33 Z38:AA41">
    <cfRule type="expression" dxfId="818" priority="11">
      <formula>OR(WEEKDAY(Z$3)=7,WEEKDAY(Z$3)=1)</formula>
    </cfRule>
  </conditionalFormatting>
  <conditionalFormatting sqref="AA31:AA32">
    <cfRule type="expression" dxfId="817" priority="10">
      <formula>OR(WEEKDAY(AA$3)=7,WEEKDAY(AA$3)=1)</formula>
    </cfRule>
  </conditionalFormatting>
  <conditionalFormatting sqref="AA34:AA37">
    <cfRule type="expression" dxfId="816" priority="6">
      <formula>OR(WEEKDAY(AA$3)=7,WEEKDAY(AA$3)=1)</formula>
    </cfRule>
  </conditionalFormatting>
  <conditionalFormatting sqref="AB34">
    <cfRule type="expression" dxfId="815" priority="87">
      <formula>OR(WEEKDAY(AB$3)=7,WEEKDAY(AB$3)=1)</formula>
    </cfRule>
  </conditionalFormatting>
  <conditionalFormatting sqref="AB20:AE21">
    <cfRule type="expression" dxfId="814" priority="246">
      <formula>OR(WEEKDAY(AB$3)=7,WEEKDAY(AB$3)=1)</formula>
    </cfRule>
  </conditionalFormatting>
  <conditionalFormatting sqref="AB4:AF7">
    <cfRule type="expression" dxfId="813" priority="2">
      <formula>OR(WEEKDAY(AB$3)=7,WEEKDAY(AB$3)=1)</formula>
    </cfRule>
  </conditionalFormatting>
  <conditionalFormatting sqref="AC24">
    <cfRule type="expression" dxfId="812" priority="4">
      <formula>OR(WEEKDAY(AC$3)=7,WEEKDAY(AC$3)=1)</formula>
    </cfRule>
  </conditionalFormatting>
  <conditionalFormatting sqref="AD38">
    <cfRule type="expression" dxfId="811" priority="85">
      <formula>OR(WEEKDAY(AD$3)=7,WEEKDAY(AD$3)=1)</formula>
    </cfRule>
  </conditionalFormatting>
  <conditionalFormatting sqref="AF20">
    <cfRule type="expression" dxfId="810" priority="94">
      <formula>OR(WEEKDAY(AF$3)=7,WEEKDAY(AF$3)=1)</formula>
    </cfRule>
  </conditionalFormatting>
  <pageMargins left="0.25" right="0.25" top="0.75" bottom="0.75" header="0.3" footer="0.3"/>
  <pageSetup paperSize="9" scale="49" fitToHeight="0" orientation="landscape" cellComments="asDisplayed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E7C5-73C6-4F73-8098-A6DC4807C0F1}">
  <sheetPr>
    <pageSetUpPr fitToPage="1"/>
  </sheetPr>
  <dimension ref="A1:BP42"/>
  <sheetViews>
    <sheetView topLeftCell="B1" zoomScale="85" zoomScaleNormal="85" workbookViewId="0">
      <pane xSplit="2" ySplit="2" topLeftCell="D21" activePane="bottomRight" state="frozen"/>
      <selection activeCell="B1" sqref="B1"/>
      <selection pane="topRight" activeCell="D1" sqref="D1"/>
      <selection pane="bottomLeft" activeCell="B3" sqref="B3"/>
      <selection pane="bottomRight" activeCell="AD35" sqref="AD35"/>
    </sheetView>
  </sheetViews>
  <sheetFormatPr defaultColWidth="9" defaultRowHeight="15.6" x14ac:dyDescent="0.4"/>
  <cols>
    <col min="1" max="1" width="17.19921875" style="27" customWidth="1"/>
    <col min="2" max="2" width="5.8984375" style="27" customWidth="1"/>
    <col min="3" max="3" width="13" style="35" customWidth="1"/>
    <col min="4" max="4" width="7.3984375" style="35" customWidth="1"/>
    <col min="5" max="35" width="5.3984375" style="27" customWidth="1"/>
    <col min="36" max="38" width="9" style="27" customWidth="1"/>
    <col min="39" max="39" width="9.59765625" style="36" customWidth="1"/>
    <col min="40" max="40" width="9" style="27"/>
    <col min="41" max="41" width="10" style="27" bestFit="1" customWidth="1"/>
    <col min="42" max="16384" width="9" style="27"/>
  </cols>
  <sheetData>
    <row r="1" spans="1:68" s="15" customFormat="1" ht="36.75" customHeight="1" thickBot="1" x14ac:dyDescent="0.45">
      <c r="A1" s="130">
        <v>45078</v>
      </c>
      <c r="B1" s="130"/>
      <c r="C1" s="131"/>
      <c r="D1" s="132">
        <v>45717</v>
      </c>
      <c r="E1" s="133"/>
      <c r="F1" s="133"/>
      <c r="G1" s="133"/>
      <c r="H1" s="133"/>
      <c r="I1" s="13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M1" s="16"/>
    </row>
    <row r="2" spans="1:68" s="23" customFormat="1" ht="21.75" customHeight="1" x14ac:dyDescent="0.4">
      <c r="A2" s="192" t="s">
        <v>37</v>
      </c>
      <c r="B2" s="135" t="s">
        <v>38</v>
      </c>
      <c r="C2" s="139" t="s">
        <v>39</v>
      </c>
      <c r="D2" s="64" t="s">
        <v>40</v>
      </c>
      <c r="E2" s="18">
        <f>D1</f>
        <v>45717</v>
      </c>
      <c r="F2" s="19">
        <f>E2+1</f>
        <v>45718</v>
      </c>
      <c r="G2" s="66">
        <f t="shared" ref="G2:AE2" si="0">F2+1</f>
        <v>45719</v>
      </c>
      <c r="H2" s="19">
        <f t="shared" si="0"/>
        <v>45720</v>
      </c>
      <c r="I2" s="19">
        <f t="shared" si="0"/>
        <v>45721</v>
      </c>
      <c r="J2" s="19">
        <f t="shared" si="0"/>
        <v>45722</v>
      </c>
      <c r="K2" s="19">
        <f t="shared" si="0"/>
        <v>45723</v>
      </c>
      <c r="L2" s="19">
        <f t="shared" si="0"/>
        <v>45724</v>
      </c>
      <c r="M2" s="19">
        <f t="shared" si="0"/>
        <v>45725</v>
      </c>
      <c r="N2" s="19">
        <f t="shared" si="0"/>
        <v>45726</v>
      </c>
      <c r="O2" s="19">
        <f t="shared" si="0"/>
        <v>45727</v>
      </c>
      <c r="P2" s="19">
        <f t="shared" si="0"/>
        <v>45728</v>
      </c>
      <c r="Q2" s="19">
        <f t="shared" si="0"/>
        <v>45729</v>
      </c>
      <c r="R2" s="19">
        <f t="shared" si="0"/>
        <v>45730</v>
      </c>
      <c r="S2" s="18">
        <f t="shared" si="0"/>
        <v>45731</v>
      </c>
      <c r="T2" s="19">
        <f t="shared" si="0"/>
        <v>45732</v>
      </c>
      <c r="U2" s="19">
        <f t="shared" si="0"/>
        <v>45733</v>
      </c>
      <c r="V2" s="19">
        <f t="shared" si="0"/>
        <v>45734</v>
      </c>
      <c r="W2" s="19">
        <f t="shared" si="0"/>
        <v>45735</v>
      </c>
      <c r="X2" s="19">
        <f t="shared" si="0"/>
        <v>45736</v>
      </c>
      <c r="Y2" s="19">
        <f t="shared" si="0"/>
        <v>45737</v>
      </c>
      <c r="Z2" s="19">
        <f t="shared" si="0"/>
        <v>45738</v>
      </c>
      <c r="AA2" s="20">
        <f t="shared" si="0"/>
        <v>45739</v>
      </c>
      <c r="AB2" s="20">
        <f t="shared" si="0"/>
        <v>45740</v>
      </c>
      <c r="AC2" s="18">
        <f>AB2+1</f>
        <v>45741</v>
      </c>
      <c r="AD2" s="19">
        <f t="shared" si="0"/>
        <v>45742</v>
      </c>
      <c r="AE2" s="19">
        <f t="shared" si="0"/>
        <v>45743</v>
      </c>
      <c r="AF2" s="19">
        <v>28</v>
      </c>
      <c r="AG2" s="66">
        <v>29</v>
      </c>
      <c r="AH2" s="66">
        <v>30</v>
      </c>
      <c r="AI2" s="19">
        <v>31</v>
      </c>
      <c r="AJ2" s="141" t="s">
        <v>41</v>
      </c>
      <c r="AK2" s="145" t="s">
        <v>42</v>
      </c>
      <c r="AL2" s="147" t="s">
        <v>43</v>
      </c>
      <c r="AM2" s="149" t="s">
        <v>44</v>
      </c>
      <c r="AN2" s="151" t="s">
        <v>45</v>
      </c>
      <c r="AO2" s="153" t="s">
        <v>46</v>
      </c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</row>
    <row r="3" spans="1:68" s="24" customFormat="1" ht="18" thickBot="1" x14ac:dyDescent="0.45">
      <c r="A3" s="193"/>
      <c r="B3" s="136"/>
      <c r="C3" s="140"/>
      <c r="D3" s="65" t="s">
        <v>47</v>
      </c>
      <c r="E3" s="39">
        <f>E2</f>
        <v>45717</v>
      </c>
      <c r="F3" s="40">
        <f t="shared" ref="F3:AE3" si="1">F2</f>
        <v>45718</v>
      </c>
      <c r="G3" s="39">
        <f t="shared" si="1"/>
        <v>45719</v>
      </c>
      <c r="H3" s="40">
        <f t="shared" si="1"/>
        <v>45720</v>
      </c>
      <c r="I3" s="39">
        <f t="shared" si="1"/>
        <v>45721</v>
      </c>
      <c r="J3" s="40">
        <f t="shared" si="1"/>
        <v>45722</v>
      </c>
      <c r="K3" s="39">
        <f t="shared" si="1"/>
        <v>45723</v>
      </c>
      <c r="L3" s="40">
        <f t="shared" si="1"/>
        <v>45724</v>
      </c>
      <c r="M3" s="39">
        <f t="shared" si="1"/>
        <v>45725</v>
      </c>
      <c r="N3" s="40">
        <f t="shared" si="1"/>
        <v>45726</v>
      </c>
      <c r="O3" s="39">
        <f t="shared" si="1"/>
        <v>45727</v>
      </c>
      <c r="P3" s="40">
        <f t="shared" si="1"/>
        <v>45728</v>
      </c>
      <c r="Q3" s="39">
        <f t="shared" si="1"/>
        <v>45729</v>
      </c>
      <c r="R3" s="40">
        <f t="shared" si="1"/>
        <v>45730</v>
      </c>
      <c r="S3" s="39">
        <f t="shared" si="1"/>
        <v>45731</v>
      </c>
      <c r="T3" s="40">
        <f t="shared" si="1"/>
        <v>45732</v>
      </c>
      <c r="U3" s="39">
        <f t="shared" si="1"/>
        <v>45733</v>
      </c>
      <c r="V3" s="40">
        <f t="shared" si="1"/>
        <v>45734</v>
      </c>
      <c r="W3" s="39">
        <f t="shared" si="1"/>
        <v>45735</v>
      </c>
      <c r="X3" s="40">
        <f t="shared" si="1"/>
        <v>45736</v>
      </c>
      <c r="Y3" s="39">
        <f t="shared" si="1"/>
        <v>45737</v>
      </c>
      <c r="Z3" s="40">
        <f t="shared" si="1"/>
        <v>45738</v>
      </c>
      <c r="AA3" s="39">
        <f t="shared" si="1"/>
        <v>45739</v>
      </c>
      <c r="AB3" s="40">
        <f t="shared" si="1"/>
        <v>45740</v>
      </c>
      <c r="AC3" s="39">
        <f t="shared" si="1"/>
        <v>45741</v>
      </c>
      <c r="AD3" s="40">
        <f t="shared" si="1"/>
        <v>45742</v>
      </c>
      <c r="AE3" s="39">
        <f t="shared" si="1"/>
        <v>45743</v>
      </c>
      <c r="AF3" s="39" t="s">
        <v>408</v>
      </c>
      <c r="AG3" s="72" t="s">
        <v>409</v>
      </c>
      <c r="AH3" s="73" t="s">
        <v>410</v>
      </c>
      <c r="AI3" s="39" t="s">
        <v>411</v>
      </c>
      <c r="AJ3" s="142"/>
      <c r="AK3" s="146"/>
      <c r="AL3" s="148"/>
      <c r="AM3" s="150"/>
      <c r="AN3" s="152"/>
      <c r="AO3" s="154"/>
    </row>
    <row r="4" spans="1:68" ht="21.75" customHeight="1" thickBot="1" x14ac:dyDescent="0.45">
      <c r="A4" s="155" t="s">
        <v>48</v>
      </c>
      <c r="B4" s="190" t="s">
        <v>67</v>
      </c>
      <c r="C4" s="159" t="s">
        <v>50</v>
      </c>
      <c r="D4" s="33" t="s">
        <v>51</v>
      </c>
      <c r="E4" s="43"/>
      <c r="F4" s="34"/>
      <c r="G4" s="67"/>
      <c r="H4" s="34" t="s">
        <v>211</v>
      </c>
      <c r="I4" s="34" t="s">
        <v>323</v>
      </c>
      <c r="J4" s="34" t="s">
        <v>383</v>
      </c>
      <c r="K4" s="34" t="s">
        <v>380</v>
      </c>
      <c r="L4" s="34" t="s">
        <v>70</v>
      </c>
      <c r="M4" s="34" t="s">
        <v>70</v>
      </c>
      <c r="N4" s="34" t="s">
        <v>381</v>
      </c>
      <c r="O4" s="34" t="s">
        <v>323</v>
      </c>
      <c r="P4" s="34" t="s">
        <v>383</v>
      </c>
      <c r="Q4" s="34" t="s">
        <v>382</v>
      </c>
      <c r="R4" s="34" t="s">
        <v>223</v>
      </c>
      <c r="S4" s="34" t="s">
        <v>70</v>
      </c>
      <c r="T4" s="34" t="s">
        <v>70</v>
      </c>
      <c r="U4" s="34" t="s">
        <v>233</v>
      </c>
      <c r="V4" s="34" t="s">
        <v>383</v>
      </c>
      <c r="W4" s="34" t="s">
        <v>223</v>
      </c>
      <c r="X4" s="34" t="s">
        <v>316</v>
      </c>
      <c r="Y4" s="202" t="s">
        <v>176</v>
      </c>
      <c r="Z4" s="34" t="s">
        <v>70</v>
      </c>
      <c r="AA4" s="34" t="s">
        <v>70</v>
      </c>
      <c r="AB4" s="34" t="s">
        <v>315</v>
      </c>
      <c r="AC4" s="34" t="s">
        <v>383</v>
      </c>
      <c r="AD4" s="34" t="s">
        <v>319</v>
      </c>
      <c r="AE4" s="34" t="s">
        <v>315</v>
      </c>
      <c r="AF4" s="34" t="s">
        <v>381</v>
      </c>
      <c r="AG4" s="67" t="s">
        <v>70</v>
      </c>
      <c r="AH4" s="67" t="s">
        <v>70</v>
      </c>
      <c r="AI4" s="34" t="s">
        <v>384</v>
      </c>
      <c r="AJ4" s="160" t="s">
        <v>416</v>
      </c>
      <c r="AK4" s="161"/>
      <c r="AL4" s="108"/>
      <c r="AM4" s="110">
        <v>1</v>
      </c>
      <c r="AN4" s="183">
        <f>(H4+I4+J4+K4+N4+O4+P4+Q4+R4+U4+V4+W4+X4+AB4+AC4+AD4+AE4+AF4+AI4)/19</f>
        <v>0.291922514619883</v>
      </c>
      <c r="AO4" s="203">
        <f>(H5+I5+J5+K5+N5+O5+P5+Q5+R5+U5+V5+X5+AB5+AC5+AD5+AE5+AF5+AI5)/18</f>
        <v>0.7836419753086421</v>
      </c>
      <c r="AQ4" s="24"/>
    </row>
    <row r="5" spans="1:68" ht="21.75" customHeight="1" thickTop="1" thickBot="1" x14ac:dyDescent="0.45">
      <c r="A5" s="156"/>
      <c r="B5" s="186"/>
      <c r="C5" s="120"/>
      <c r="D5" s="25" t="s">
        <v>52</v>
      </c>
      <c r="E5" s="44"/>
      <c r="F5" s="26"/>
      <c r="G5" s="68"/>
      <c r="H5" s="26" t="s">
        <v>169</v>
      </c>
      <c r="I5" s="26" t="s">
        <v>81</v>
      </c>
      <c r="J5" s="26" t="s">
        <v>80</v>
      </c>
      <c r="K5" s="26" t="s">
        <v>157</v>
      </c>
      <c r="L5" s="26" t="s">
        <v>70</v>
      </c>
      <c r="M5" s="26" t="s">
        <v>70</v>
      </c>
      <c r="N5" s="26" t="s">
        <v>116</v>
      </c>
      <c r="O5" s="26" t="s">
        <v>80</v>
      </c>
      <c r="P5" s="26" t="s">
        <v>146</v>
      </c>
      <c r="Q5" s="26" t="s">
        <v>86</v>
      </c>
      <c r="R5" s="26" t="s">
        <v>81</v>
      </c>
      <c r="S5" s="26" t="s">
        <v>70</v>
      </c>
      <c r="T5" s="26" t="s">
        <v>70</v>
      </c>
      <c r="U5" s="26" t="s">
        <v>151</v>
      </c>
      <c r="V5" s="26" t="s">
        <v>169</v>
      </c>
      <c r="W5" s="26" t="s">
        <v>385</v>
      </c>
      <c r="X5" s="26" t="s">
        <v>80</v>
      </c>
      <c r="Y5" s="126"/>
      <c r="Z5" s="26" t="s">
        <v>70</v>
      </c>
      <c r="AA5" s="26" t="s">
        <v>70</v>
      </c>
      <c r="AB5" s="26" t="s">
        <v>173</v>
      </c>
      <c r="AC5" s="26" t="s">
        <v>192</v>
      </c>
      <c r="AD5" s="26" t="s">
        <v>92</v>
      </c>
      <c r="AE5" s="26" t="s">
        <v>80</v>
      </c>
      <c r="AF5" s="26" t="s">
        <v>166</v>
      </c>
      <c r="AG5" s="68" t="s">
        <v>70</v>
      </c>
      <c r="AH5" s="68" t="s">
        <v>70</v>
      </c>
      <c r="AI5" s="26" t="s">
        <v>92</v>
      </c>
      <c r="AJ5" s="127"/>
      <c r="AK5" s="162"/>
      <c r="AL5" s="194"/>
      <c r="AM5" s="195"/>
      <c r="AN5" s="111"/>
      <c r="AO5" s="181"/>
      <c r="AP5" s="28"/>
    </row>
    <row r="6" spans="1:68" ht="21.75" customHeight="1" thickTop="1" thickBot="1" x14ac:dyDescent="0.45">
      <c r="A6" s="156"/>
      <c r="B6" s="186" t="s">
        <v>53</v>
      </c>
      <c r="C6" s="120" t="s">
        <v>54</v>
      </c>
      <c r="D6" s="25" t="s">
        <v>51</v>
      </c>
      <c r="E6" s="44"/>
      <c r="F6" s="26"/>
      <c r="G6" s="68"/>
      <c r="H6" s="26" t="s">
        <v>156</v>
      </c>
      <c r="I6" s="26" t="s">
        <v>71</v>
      </c>
      <c r="J6" s="26" t="s">
        <v>68</v>
      </c>
      <c r="K6" s="26" t="s">
        <v>71</v>
      </c>
      <c r="L6" s="26" t="s">
        <v>70</v>
      </c>
      <c r="M6" s="26" t="s">
        <v>70</v>
      </c>
      <c r="N6" s="26" t="s">
        <v>69</v>
      </c>
      <c r="O6" s="26" t="s">
        <v>75</v>
      </c>
      <c r="P6" s="26" t="s">
        <v>121</v>
      </c>
      <c r="Q6" s="26" t="s">
        <v>120</v>
      </c>
      <c r="R6" s="26" t="s">
        <v>160</v>
      </c>
      <c r="S6" s="26" t="s">
        <v>70</v>
      </c>
      <c r="T6" s="26" t="s">
        <v>70</v>
      </c>
      <c r="U6" s="26" t="s">
        <v>68</v>
      </c>
      <c r="V6" s="26" t="s">
        <v>160</v>
      </c>
      <c r="W6" s="26" t="s">
        <v>149</v>
      </c>
      <c r="X6" s="26" t="s">
        <v>68</v>
      </c>
      <c r="Y6" s="26" t="s">
        <v>71</v>
      </c>
      <c r="Z6" s="26" t="s">
        <v>70</v>
      </c>
      <c r="AA6" s="26" t="s">
        <v>70</v>
      </c>
      <c r="AB6" s="26" t="s">
        <v>149</v>
      </c>
      <c r="AC6" s="26" t="s">
        <v>135</v>
      </c>
      <c r="AD6" s="126" t="s">
        <v>176</v>
      </c>
      <c r="AE6" s="26" t="s">
        <v>156</v>
      </c>
      <c r="AF6" s="26" t="s">
        <v>156</v>
      </c>
      <c r="AG6" s="68" t="s">
        <v>70</v>
      </c>
      <c r="AH6" s="68" t="s">
        <v>70</v>
      </c>
      <c r="AI6" s="26" t="s">
        <v>156</v>
      </c>
      <c r="AJ6" s="112"/>
      <c r="AK6" s="106"/>
      <c r="AL6" s="194"/>
      <c r="AM6" s="195">
        <v>1.5</v>
      </c>
      <c r="AN6" s="111">
        <f>(H6+I6+J6+K6+N6+O6+P6+Q6+R6+U6+V6+W6+X6+Y6+AB6+AC6+AE6+AF6+AI6)/19</f>
        <v>0.37006578947368418</v>
      </c>
      <c r="AO6" s="181">
        <f>(H7+I7+J7+K7+N7+O7+P7+Q7+R7+U7+V7+X7+AB7+AC7+AE7+AF7+AI7)/17</f>
        <v>0.76560457516339853</v>
      </c>
    </row>
    <row r="7" spans="1:68" ht="21.75" customHeight="1" thickTop="1" thickBot="1" x14ac:dyDescent="0.45">
      <c r="A7" s="156"/>
      <c r="B7" s="186"/>
      <c r="C7" s="120"/>
      <c r="D7" s="25" t="s">
        <v>52</v>
      </c>
      <c r="E7" s="44"/>
      <c r="F7" s="26"/>
      <c r="G7" s="68"/>
      <c r="H7" s="26" t="s">
        <v>235</v>
      </c>
      <c r="I7" s="26" t="s">
        <v>222</v>
      </c>
      <c r="J7" s="26" t="s">
        <v>168</v>
      </c>
      <c r="K7" s="26" t="s">
        <v>360</v>
      </c>
      <c r="L7" s="26" t="s">
        <v>70</v>
      </c>
      <c r="M7" s="26" t="s">
        <v>70</v>
      </c>
      <c r="N7" s="26" t="s">
        <v>361</v>
      </c>
      <c r="O7" s="26" t="s">
        <v>363</v>
      </c>
      <c r="P7" s="26" t="s">
        <v>362</v>
      </c>
      <c r="Q7" s="26" t="s">
        <v>266</v>
      </c>
      <c r="R7" s="26" t="s">
        <v>229</v>
      </c>
      <c r="S7" s="26" t="s">
        <v>70</v>
      </c>
      <c r="T7" s="26" t="s">
        <v>70</v>
      </c>
      <c r="U7" s="26" t="s">
        <v>363</v>
      </c>
      <c r="V7" s="26" t="s">
        <v>150</v>
      </c>
      <c r="W7" s="26" t="s">
        <v>364</v>
      </c>
      <c r="X7" s="26" t="s">
        <v>222</v>
      </c>
      <c r="Y7" s="41" t="s">
        <v>279</v>
      </c>
      <c r="Z7" s="26" t="s">
        <v>70</v>
      </c>
      <c r="AA7" s="26" t="s">
        <v>70</v>
      </c>
      <c r="AB7" s="26" t="s">
        <v>228</v>
      </c>
      <c r="AC7" s="26" t="s">
        <v>342</v>
      </c>
      <c r="AD7" s="126"/>
      <c r="AE7" s="26" t="s">
        <v>184</v>
      </c>
      <c r="AF7" s="26" t="s">
        <v>101</v>
      </c>
      <c r="AG7" s="68" t="s">
        <v>70</v>
      </c>
      <c r="AH7" s="68" t="s">
        <v>70</v>
      </c>
      <c r="AI7" s="26" t="s">
        <v>222</v>
      </c>
      <c r="AJ7" s="112"/>
      <c r="AK7" s="106"/>
      <c r="AL7" s="194"/>
      <c r="AM7" s="195"/>
      <c r="AN7" s="111"/>
      <c r="AO7" s="181"/>
    </row>
    <row r="8" spans="1:68" ht="21.75" customHeight="1" thickTop="1" thickBot="1" x14ac:dyDescent="0.45">
      <c r="A8" s="156"/>
      <c r="B8" s="186" t="s">
        <v>53</v>
      </c>
      <c r="C8" s="120" t="s">
        <v>55</v>
      </c>
      <c r="D8" s="25" t="s">
        <v>51</v>
      </c>
      <c r="E8" s="44"/>
      <c r="F8" s="26"/>
      <c r="G8" s="68"/>
      <c r="H8" s="26" t="s">
        <v>93</v>
      </c>
      <c r="I8" s="26" t="s">
        <v>95</v>
      </c>
      <c r="J8" s="26" t="s">
        <v>143</v>
      </c>
      <c r="K8" s="26" t="s">
        <v>79</v>
      </c>
      <c r="L8" s="26" t="s">
        <v>70</v>
      </c>
      <c r="M8" s="26" t="s">
        <v>70</v>
      </c>
      <c r="N8" s="26" t="s">
        <v>68</v>
      </c>
      <c r="O8" s="26" t="s">
        <v>119</v>
      </c>
      <c r="P8" s="26" t="s">
        <v>79</v>
      </c>
      <c r="Q8" s="126" t="s">
        <v>176</v>
      </c>
      <c r="R8" s="26" t="s">
        <v>76</v>
      </c>
      <c r="S8" s="26" t="s">
        <v>70</v>
      </c>
      <c r="T8" s="26" t="s">
        <v>70</v>
      </c>
      <c r="U8" s="26" t="s">
        <v>135</v>
      </c>
      <c r="V8" s="26" t="s">
        <v>74</v>
      </c>
      <c r="W8" s="26" t="s">
        <v>69</v>
      </c>
      <c r="X8" s="26" t="s">
        <v>121</v>
      </c>
      <c r="Y8" s="26" t="s">
        <v>93</v>
      </c>
      <c r="Z8" s="26" t="s">
        <v>70</v>
      </c>
      <c r="AA8" s="26" t="s">
        <v>70</v>
      </c>
      <c r="AB8" s="26" t="s">
        <v>120</v>
      </c>
      <c r="AC8" s="26" t="s">
        <v>74</v>
      </c>
      <c r="AD8" s="26" t="s">
        <v>76</v>
      </c>
      <c r="AE8" s="26" t="s">
        <v>93</v>
      </c>
      <c r="AF8" s="26" t="s">
        <v>79</v>
      </c>
      <c r="AG8" s="68" t="s">
        <v>70</v>
      </c>
      <c r="AH8" s="68" t="s">
        <v>70</v>
      </c>
      <c r="AI8" s="26" t="s">
        <v>79</v>
      </c>
      <c r="AJ8" s="112"/>
      <c r="AK8" s="106"/>
      <c r="AL8" s="194"/>
      <c r="AM8" s="195">
        <v>1</v>
      </c>
      <c r="AN8" s="111">
        <f>(H8+I8+J8+K8+N8+O8+P8+R8+U8+V8+W8+X8+Y8+AB8+AC8+AD8+AE8+AF8+AI8)/19</f>
        <v>0.36476608187134502</v>
      </c>
      <c r="AO8" s="105">
        <f>(H9+I9+J9+K9+N9+O9+P9+R9+U9+V9+X9+Y9+AB9+AD9+AE9+AF9+AI9+AC9)/18</f>
        <v>0.79124228395061735</v>
      </c>
    </row>
    <row r="9" spans="1:68" ht="21.75" customHeight="1" thickTop="1" thickBot="1" x14ac:dyDescent="0.45">
      <c r="A9" s="156"/>
      <c r="B9" s="186"/>
      <c r="C9" s="120"/>
      <c r="D9" s="25" t="s">
        <v>52</v>
      </c>
      <c r="E9" s="44"/>
      <c r="F9" s="26"/>
      <c r="G9" s="68"/>
      <c r="H9" s="26" t="s">
        <v>327</v>
      </c>
      <c r="I9" s="26" t="s">
        <v>327</v>
      </c>
      <c r="J9" s="26" t="s">
        <v>173</v>
      </c>
      <c r="K9" s="26" t="s">
        <v>117</v>
      </c>
      <c r="L9" s="26" t="s">
        <v>70</v>
      </c>
      <c r="M9" s="26" t="s">
        <v>70</v>
      </c>
      <c r="N9" s="26" t="s">
        <v>86</v>
      </c>
      <c r="O9" s="26" t="s">
        <v>84</v>
      </c>
      <c r="P9" s="26" t="s">
        <v>167</v>
      </c>
      <c r="Q9" s="126"/>
      <c r="R9" s="26" t="s">
        <v>309</v>
      </c>
      <c r="S9" s="26" t="s">
        <v>70</v>
      </c>
      <c r="T9" s="26" t="s">
        <v>70</v>
      </c>
      <c r="U9" s="26" t="s">
        <v>117</v>
      </c>
      <c r="V9" s="26" t="s">
        <v>85</v>
      </c>
      <c r="W9" s="26" t="s">
        <v>395</v>
      </c>
      <c r="X9" s="26" t="s">
        <v>289</v>
      </c>
      <c r="Y9" s="26" t="s">
        <v>166</v>
      </c>
      <c r="Z9" s="26" t="s">
        <v>70</v>
      </c>
      <c r="AA9" s="26" t="s">
        <v>70</v>
      </c>
      <c r="AB9" s="26" t="s">
        <v>85</v>
      </c>
      <c r="AC9" s="26" t="s">
        <v>84</v>
      </c>
      <c r="AD9" s="26" t="s">
        <v>141</v>
      </c>
      <c r="AE9" s="26" t="s">
        <v>327</v>
      </c>
      <c r="AF9" s="26" t="s">
        <v>166</v>
      </c>
      <c r="AG9" s="68" t="s">
        <v>70</v>
      </c>
      <c r="AH9" s="68" t="s">
        <v>70</v>
      </c>
      <c r="AI9" s="26" t="s">
        <v>92</v>
      </c>
      <c r="AJ9" s="112"/>
      <c r="AK9" s="106"/>
      <c r="AL9" s="194"/>
      <c r="AM9" s="195"/>
      <c r="AN9" s="111"/>
      <c r="AO9" s="181"/>
    </row>
    <row r="10" spans="1:68" ht="21.75" customHeight="1" thickTop="1" thickBot="1" x14ac:dyDescent="0.45">
      <c r="A10" s="157"/>
      <c r="B10" s="186" t="s">
        <v>53</v>
      </c>
      <c r="C10" s="120" t="s">
        <v>243</v>
      </c>
      <c r="D10" s="25" t="s">
        <v>51</v>
      </c>
      <c r="E10" s="44"/>
      <c r="F10" s="26"/>
      <c r="G10" s="68"/>
      <c r="H10" s="26" t="s">
        <v>404</v>
      </c>
      <c r="I10" s="26" t="s">
        <v>73</v>
      </c>
      <c r="J10" s="26" t="s">
        <v>156</v>
      </c>
      <c r="K10" s="26" t="s">
        <v>71</v>
      </c>
      <c r="L10" s="26" t="s">
        <v>70</v>
      </c>
      <c r="M10" s="26" t="s">
        <v>70</v>
      </c>
      <c r="N10" s="26" t="s">
        <v>78</v>
      </c>
      <c r="O10" s="26" t="s">
        <v>75</v>
      </c>
      <c r="P10" s="26" t="s">
        <v>72</v>
      </c>
      <c r="Q10" s="26" t="s">
        <v>405</v>
      </c>
      <c r="R10" s="126" t="s">
        <v>176</v>
      </c>
      <c r="S10" s="26" t="s">
        <v>70</v>
      </c>
      <c r="T10" s="26" t="s">
        <v>70</v>
      </c>
      <c r="U10" s="26" t="s">
        <v>97</v>
      </c>
      <c r="V10" s="26" t="s">
        <v>215</v>
      </c>
      <c r="W10" s="26" t="s">
        <v>97</v>
      </c>
      <c r="X10" s="26" t="s">
        <v>311</v>
      </c>
      <c r="Y10" s="26" t="s">
        <v>99</v>
      </c>
      <c r="Z10" s="26" t="s">
        <v>70</v>
      </c>
      <c r="AA10" s="26" t="s">
        <v>70</v>
      </c>
      <c r="AB10" s="29" t="s">
        <v>406</v>
      </c>
      <c r="AC10" s="26" t="s">
        <v>99</v>
      </c>
      <c r="AD10" s="26" t="s">
        <v>75</v>
      </c>
      <c r="AE10" s="26" t="s">
        <v>99</v>
      </c>
      <c r="AF10" s="126" t="s">
        <v>176</v>
      </c>
      <c r="AG10" s="68" t="s">
        <v>70</v>
      </c>
      <c r="AH10" s="68" t="s">
        <v>70</v>
      </c>
      <c r="AI10" s="26" t="s">
        <v>75</v>
      </c>
      <c r="AJ10" s="194" t="s">
        <v>280</v>
      </c>
      <c r="AK10" s="106">
        <v>1</v>
      </c>
      <c r="AL10" s="194" t="s">
        <v>280</v>
      </c>
      <c r="AM10" s="200">
        <v>2</v>
      </c>
      <c r="AN10" s="111">
        <f>(H10+I10+J10+K10+N10+O10+P10+Q10+U10+V10+W10+X10+Y10+AB10+AC10+AD10+AE10+AI10)/18</f>
        <v>0.35763888888888901</v>
      </c>
      <c r="AO10" s="181">
        <f>(H11+I11+J11+K11+N11+O11+P11+Q11+U11+V11+X11+Y11+AB11+AC11+AD11+AE11+AI11)/17</f>
        <v>0.79967320261437924</v>
      </c>
    </row>
    <row r="11" spans="1:68" ht="21.75" customHeight="1" thickTop="1" thickBot="1" x14ac:dyDescent="0.45">
      <c r="A11" s="157"/>
      <c r="B11" s="186"/>
      <c r="C11" s="120"/>
      <c r="D11" s="25" t="s">
        <v>52</v>
      </c>
      <c r="E11" s="44"/>
      <c r="F11" s="26"/>
      <c r="G11" s="68"/>
      <c r="H11" s="26" t="s">
        <v>366</v>
      </c>
      <c r="I11" s="26" t="s">
        <v>158</v>
      </c>
      <c r="J11" s="26" t="s">
        <v>157</v>
      </c>
      <c r="K11" s="26" t="s">
        <v>157</v>
      </c>
      <c r="L11" s="26" t="s">
        <v>70</v>
      </c>
      <c r="M11" s="26" t="s">
        <v>70</v>
      </c>
      <c r="N11" s="26" t="s">
        <v>151</v>
      </c>
      <c r="O11" s="26" t="s">
        <v>85</v>
      </c>
      <c r="P11" s="26" t="s">
        <v>146</v>
      </c>
      <c r="Q11" s="26" t="s">
        <v>86</v>
      </c>
      <c r="R11" s="126"/>
      <c r="S11" s="26" t="s">
        <v>70</v>
      </c>
      <c r="T11" s="26" t="s">
        <v>70</v>
      </c>
      <c r="U11" s="26" t="s">
        <v>117</v>
      </c>
      <c r="V11" s="26" t="s">
        <v>85</v>
      </c>
      <c r="W11" s="26" t="s">
        <v>277</v>
      </c>
      <c r="X11" s="26" t="s">
        <v>191</v>
      </c>
      <c r="Y11" s="26" t="s">
        <v>173</v>
      </c>
      <c r="Z11" s="26" t="s">
        <v>70</v>
      </c>
      <c r="AA11" s="26" t="s">
        <v>70</v>
      </c>
      <c r="AB11" s="26" t="s">
        <v>399</v>
      </c>
      <c r="AC11" s="26" t="s">
        <v>154</v>
      </c>
      <c r="AD11" s="26" t="s">
        <v>331</v>
      </c>
      <c r="AE11" s="26" t="s">
        <v>146</v>
      </c>
      <c r="AF11" s="126"/>
      <c r="AG11" s="68" t="s">
        <v>70</v>
      </c>
      <c r="AH11" s="68" t="s">
        <v>70</v>
      </c>
      <c r="AI11" s="26" t="s">
        <v>195</v>
      </c>
      <c r="AJ11" s="194"/>
      <c r="AK11" s="106"/>
      <c r="AL11" s="194"/>
      <c r="AM11" s="200"/>
      <c r="AN11" s="111"/>
      <c r="AO11" s="181"/>
    </row>
    <row r="12" spans="1:68" ht="21.75" customHeight="1" thickTop="1" thickBot="1" x14ac:dyDescent="0.45">
      <c r="A12" s="157"/>
      <c r="B12" s="186" t="s">
        <v>56</v>
      </c>
      <c r="C12" s="120" t="s">
        <v>177</v>
      </c>
      <c r="D12" s="25" t="s">
        <v>51</v>
      </c>
      <c r="E12" s="44"/>
      <c r="F12" s="26"/>
      <c r="G12" s="68"/>
      <c r="H12" s="26" t="s">
        <v>136</v>
      </c>
      <c r="I12" s="26" t="s">
        <v>142</v>
      </c>
      <c r="J12" s="26" t="s">
        <v>96</v>
      </c>
      <c r="K12" s="26" t="s">
        <v>124</v>
      </c>
      <c r="L12" s="26" t="s">
        <v>70</v>
      </c>
      <c r="M12" s="26" t="s">
        <v>70</v>
      </c>
      <c r="N12" s="26" t="s">
        <v>124</v>
      </c>
      <c r="O12" s="26" t="s">
        <v>345</v>
      </c>
      <c r="P12" s="26" t="s">
        <v>345</v>
      </c>
      <c r="Q12" s="126" t="s">
        <v>176</v>
      </c>
      <c r="R12" s="126" t="s">
        <v>176</v>
      </c>
      <c r="S12" s="26" t="s">
        <v>70</v>
      </c>
      <c r="T12" s="26" t="s">
        <v>70</v>
      </c>
      <c r="U12" s="26" t="s">
        <v>365</v>
      </c>
      <c r="V12" s="26" t="s">
        <v>143</v>
      </c>
      <c r="W12" s="26" t="s">
        <v>215</v>
      </c>
      <c r="X12" s="26" t="s">
        <v>193</v>
      </c>
      <c r="Y12" s="26" t="s">
        <v>345</v>
      </c>
      <c r="Z12" s="26" t="s">
        <v>70</v>
      </c>
      <c r="AA12" s="26" t="s">
        <v>70</v>
      </c>
      <c r="AB12" s="26" t="s">
        <v>215</v>
      </c>
      <c r="AC12" s="26" t="s">
        <v>143</v>
      </c>
      <c r="AD12" s="26" t="s">
        <v>124</v>
      </c>
      <c r="AE12" s="26" t="s">
        <v>215</v>
      </c>
      <c r="AF12" s="26" t="s">
        <v>106</v>
      </c>
      <c r="AG12" s="68" t="s">
        <v>70</v>
      </c>
      <c r="AH12" s="68" t="s">
        <v>70</v>
      </c>
      <c r="AI12" s="26" t="s">
        <v>106</v>
      </c>
      <c r="AJ12" s="194">
        <v>1</v>
      </c>
      <c r="AK12" s="106"/>
      <c r="AL12" s="194" t="s">
        <v>282</v>
      </c>
      <c r="AM12" s="200">
        <v>2</v>
      </c>
      <c r="AN12" s="111">
        <f>(H12+I12+J12+K12+N12+O12+P12+U12+V12+W12+X12+Y12+AB12+AC12+AD12+AE12+AF12+AI12)/18</f>
        <v>0.34633487654320988</v>
      </c>
      <c r="AO12" s="181">
        <f>(H13+I13+J13+K13+N13+O13+P13+U13+V13+X13+Y13+AB13+AC13+AD13+AE13+AF13+AI13)/17</f>
        <v>0.78892973856209148</v>
      </c>
    </row>
    <row r="13" spans="1:68" ht="21.75" customHeight="1" thickTop="1" thickBot="1" x14ac:dyDescent="0.45">
      <c r="A13" s="158"/>
      <c r="B13" s="186"/>
      <c r="C13" s="120"/>
      <c r="D13" s="25" t="s">
        <v>52</v>
      </c>
      <c r="E13" s="44"/>
      <c r="F13" s="26"/>
      <c r="G13" s="68"/>
      <c r="H13" s="26" t="s">
        <v>84</v>
      </c>
      <c r="I13" s="26" t="s">
        <v>169</v>
      </c>
      <c r="J13" s="26" t="s">
        <v>151</v>
      </c>
      <c r="K13" s="26" t="s">
        <v>327</v>
      </c>
      <c r="L13" s="26" t="s">
        <v>70</v>
      </c>
      <c r="M13" s="26" t="s">
        <v>70</v>
      </c>
      <c r="N13" s="26" t="s">
        <v>141</v>
      </c>
      <c r="O13" s="26" t="s">
        <v>84</v>
      </c>
      <c r="P13" s="26" t="s">
        <v>87</v>
      </c>
      <c r="Q13" s="126"/>
      <c r="R13" s="126"/>
      <c r="S13" s="26" t="s">
        <v>70</v>
      </c>
      <c r="T13" s="26" t="s">
        <v>70</v>
      </c>
      <c r="U13" s="26" t="s">
        <v>98</v>
      </c>
      <c r="V13" s="26" t="s">
        <v>123</v>
      </c>
      <c r="W13" s="26" t="s">
        <v>386</v>
      </c>
      <c r="X13" s="26" t="s">
        <v>103</v>
      </c>
      <c r="Y13" s="26" t="s">
        <v>173</v>
      </c>
      <c r="Z13" s="26" t="s">
        <v>70</v>
      </c>
      <c r="AA13" s="26" t="s">
        <v>70</v>
      </c>
      <c r="AB13" s="26" t="s">
        <v>399</v>
      </c>
      <c r="AC13" s="26" t="s">
        <v>88</v>
      </c>
      <c r="AD13" s="26" t="s">
        <v>309</v>
      </c>
      <c r="AE13" s="26" t="s">
        <v>327</v>
      </c>
      <c r="AF13" s="26" t="s">
        <v>84</v>
      </c>
      <c r="AG13" s="68" t="s">
        <v>70</v>
      </c>
      <c r="AH13" s="68" t="s">
        <v>70</v>
      </c>
      <c r="AI13" s="26" t="s">
        <v>117</v>
      </c>
      <c r="AJ13" s="194"/>
      <c r="AK13" s="106"/>
      <c r="AL13" s="194"/>
      <c r="AM13" s="200"/>
      <c r="AN13" s="111"/>
      <c r="AO13" s="181"/>
    </row>
    <row r="14" spans="1:68" ht="21.75" customHeight="1" x14ac:dyDescent="0.4">
      <c r="A14" s="30"/>
      <c r="B14" s="190" t="s">
        <v>56</v>
      </c>
      <c r="C14" s="120" t="s">
        <v>57</v>
      </c>
      <c r="D14" s="25" t="s">
        <v>51</v>
      </c>
      <c r="E14" s="44"/>
      <c r="F14" s="26"/>
      <c r="G14" s="68"/>
      <c r="H14" s="26" t="s">
        <v>135</v>
      </c>
      <c r="I14" s="26" t="s">
        <v>79</v>
      </c>
      <c r="J14" s="26" t="s">
        <v>71</v>
      </c>
      <c r="K14" s="26" t="s">
        <v>79</v>
      </c>
      <c r="L14" s="26" t="s">
        <v>70</v>
      </c>
      <c r="M14" s="26" t="s">
        <v>70</v>
      </c>
      <c r="N14" s="26" t="s">
        <v>122</v>
      </c>
      <c r="O14" s="126" t="s">
        <v>412</v>
      </c>
      <c r="P14" s="26" t="s">
        <v>152</v>
      </c>
      <c r="Q14" s="26" t="s">
        <v>79</v>
      </c>
      <c r="R14" s="26" t="s">
        <v>68</v>
      </c>
      <c r="S14" s="26" t="s">
        <v>70</v>
      </c>
      <c r="T14" s="26" t="s">
        <v>70</v>
      </c>
      <c r="U14" s="26" t="s">
        <v>79</v>
      </c>
      <c r="V14" s="26" t="s">
        <v>121</v>
      </c>
      <c r="W14" s="26" t="s">
        <v>79</v>
      </c>
      <c r="X14" s="26" t="s">
        <v>121</v>
      </c>
      <c r="Y14" s="26" t="s">
        <v>68</v>
      </c>
      <c r="Z14" s="26" t="s">
        <v>70</v>
      </c>
      <c r="AA14" s="26" t="s">
        <v>70</v>
      </c>
      <c r="AB14" s="26" t="s">
        <v>79</v>
      </c>
      <c r="AC14" s="26" t="s">
        <v>79</v>
      </c>
      <c r="AD14" s="26" t="s">
        <v>79</v>
      </c>
      <c r="AE14" s="26" t="s">
        <v>79</v>
      </c>
      <c r="AF14" s="26" t="s">
        <v>160</v>
      </c>
      <c r="AG14" s="68" t="s">
        <v>70</v>
      </c>
      <c r="AH14" s="68" t="s">
        <v>70</v>
      </c>
      <c r="AI14" s="26" t="s">
        <v>152</v>
      </c>
      <c r="AJ14" s="194"/>
      <c r="AK14" s="106"/>
      <c r="AL14" s="194" t="s">
        <v>282</v>
      </c>
      <c r="AM14" s="200"/>
      <c r="AN14" s="111">
        <f>(H14+I14+J14+K14+N14+P14+Q14+R14+U14+V14+W14+X14+Y14+AB14+AC14+AD14+AE14+AF14+AI14)/19</f>
        <v>0.36911549707602342</v>
      </c>
      <c r="AO14" s="181">
        <f>(H15+I15+J15+K15+N15+P15+Q15+R15+U15+V15+X15+Y15+AB15+AC15+AD15+AE15+AF15+AI15)/18</f>
        <v>0.78881172839506175</v>
      </c>
    </row>
    <row r="15" spans="1:68" ht="21.75" customHeight="1" x14ac:dyDescent="0.4">
      <c r="A15" s="30"/>
      <c r="B15" s="186"/>
      <c r="C15" s="120"/>
      <c r="D15" s="25" t="s">
        <v>52</v>
      </c>
      <c r="E15" s="44"/>
      <c r="F15" s="26"/>
      <c r="G15" s="68"/>
      <c r="H15" s="26" t="s">
        <v>84</v>
      </c>
      <c r="I15" s="26" t="s">
        <v>169</v>
      </c>
      <c r="J15" s="26" t="s">
        <v>151</v>
      </c>
      <c r="K15" s="26" t="s">
        <v>327</v>
      </c>
      <c r="L15" s="26" t="s">
        <v>70</v>
      </c>
      <c r="M15" s="26" t="s">
        <v>70</v>
      </c>
      <c r="N15" s="26" t="s">
        <v>141</v>
      </c>
      <c r="O15" s="126"/>
      <c r="P15" s="26" t="s">
        <v>169</v>
      </c>
      <c r="Q15" s="26" t="s">
        <v>169</v>
      </c>
      <c r="R15" s="26" t="s">
        <v>83</v>
      </c>
      <c r="S15" s="26" t="s">
        <v>70</v>
      </c>
      <c r="T15" s="26" t="s">
        <v>70</v>
      </c>
      <c r="U15" s="26" t="s">
        <v>98</v>
      </c>
      <c r="V15" s="26" t="s">
        <v>123</v>
      </c>
      <c r="W15" s="26" t="s">
        <v>386</v>
      </c>
      <c r="X15" s="26" t="s">
        <v>103</v>
      </c>
      <c r="Y15" s="26" t="s">
        <v>166</v>
      </c>
      <c r="Z15" s="26" t="s">
        <v>70</v>
      </c>
      <c r="AA15" s="26" t="s">
        <v>70</v>
      </c>
      <c r="AB15" s="26" t="s">
        <v>399</v>
      </c>
      <c r="AC15" s="26" t="s">
        <v>91</v>
      </c>
      <c r="AD15" s="26" t="s">
        <v>309</v>
      </c>
      <c r="AE15" s="26" t="s">
        <v>327</v>
      </c>
      <c r="AF15" s="26" t="s">
        <v>84</v>
      </c>
      <c r="AG15" s="68" t="s">
        <v>70</v>
      </c>
      <c r="AH15" s="68" t="s">
        <v>70</v>
      </c>
      <c r="AI15" s="26" t="s">
        <v>112</v>
      </c>
      <c r="AJ15" s="194"/>
      <c r="AK15" s="106"/>
      <c r="AL15" s="194"/>
      <c r="AM15" s="200"/>
      <c r="AN15" s="111"/>
      <c r="AO15" s="181"/>
    </row>
    <row r="16" spans="1:68" ht="21.75" customHeight="1" x14ac:dyDescent="0.4">
      <c r="A16" s="30"/>
      <c r="B16" s="186" t="s">
        <v>56</v>
      </c>
      <c r="C16" s="120" t="s">
        <v>407</v>
      </c>
      <c r="D16" s="25" t="s">
        <v>51</v>
      </c>
      <c r="E16" s="44"/>
      <c r="F16" s="26"/>
      <c r="G16" s="68"/>
      <c r="H16" s="198" t="s">
        <v>70</v>
      </c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26" t="s">
        <v>70</v>
      </c>
      <c r="T16" s="26" t="s">
        <v>70</v>
      </c>
      <c r="U16" s="26" t="s">
        <v>135</v>
      </c>
      <c r="V16" s="26" t="s">
        <v>119</v>
      </c>
      <c r="W16" s="26" t="s">
        <v>187</v>
      </c>
      <c r="X16" s="26" t="s">
        <v>311</v>
      </c>
      <c r="Y16" s="26" t="s">
        <v>106</v>
      </c>
      <c r="Z16" s="26" t="s">
        <v>70</v>
      </c>
      <c r="AA16" s="26" t="s">
        <v>70</v>
      </c>
      <c r="AB16" s="26" t="s">
        <v>136</v>
      </c>
      <c r="AC16" s="26" t="s">
        <v>383</v>
      </c>
      <c r="AD16" s="26" t="s">
        <v>109</v>
      </c>
      <c r="AE16" s="26" t="s">
        <v>197</v>
      </c>
      <c r="AF16" s="26" t="s">
        <v>303</v>
      </c>
      <c r="AG16" s="68" t="s">
        <v>70</v>
      </c>
      <c r="AH16" s="68" t="s">
        <v>70</v>
      </c>
      <c r="AI16" s="26" t="s">
        <v>140</v>
      </c>
      <c r="AJ16" s="194" t="s">
        <v>284</v>
      </c>
      <c r="AK16" s="106"/>
      <c r="AL16" s="194" t="s">
        <v>284</v>
      </c>
      <c r="AM16" s="200"/>
      <c r="AN16" s="111">
        <f>(U16+V16+W16+X16+Y16+AB16+AC16+AD16+AE16+AF16+AI16)/11</f>
        <v>0.34255050505050505</v>
      </c>
      <c r="AO16" s="181">
        <f>(U17+V17+X17+Y17+AB17+AC17+AD17+AE17+AF17+AI17)/10</f>
        <v>0.80347222222222214</v>
      </c>
    </row>
    <row r="17" spans="1:41" ht="21.75" customHeight="1" thickBot="1" x14ac:dyDescent="0.45">
      <c r="A17" s="30"/>
      <c r="B17" s="187"/>
      <c r="C17" s="121"/>
      <c r="D17" s="31" t="s">
        <v>52</v>
      </c>
      <c r="E17" s="45"/>
      <c r="F17" s="32"/>
      <c r="G17" s="6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32" t="s">
        <v>70</v>
      </c>
      <c r="T17" s="32" t="s">
        <v>70</v>
      </c>
      <c r="U17" s="32" t="s">
        <v>91</v>
      </c>
      <c r="V17" s="32" t="s">
        <v>116</v>
      </c>
      <c r="W17" s="70">
        <v>0.71805555555555556</v>
      </c>
      <c r="X17" s="32" t="s">
        <v>185</v>
      </c>
      <c r="Y17" s="32" t="s">
        <v>166</v>
      </c>
      <c r="Z17" s="32" t="s">
        <v>70</v>
      </c>
      <c r="AA17" s="32" t="s">
        <v>70</v>
      </c>
      <c r="AB17" s="32" t="s">
        <v>173</v>
      </c>
      <c r="AC17" s="32" t="s">
        <v>154</v>
      </c>
      <c r="AD17" s="32" t="s">
        <v>331</v>
      </c>
      <c r="AE17" s="32" t="s">
        <v>331</v>
      </c>
      <c r="AF17" s="32" t="s">
        <v>86</v>
      </c>
      <c r="AG17" s="69" t="s">
        <v>70</v>
      </c>
      <c r="AH17" s="69" t="s">
        <v>70</v>
      </c>
      <c r="AI17" s="32" t="s">
        <v>183</v>
      </c>
      <c r="AJ17" s="196"/>
      <c r="AK17" s="167"/>
      <c r="AL17" s="196"/>
      <c r="AM17" s="201"/>
      <c r="AN17" s="188"/>
      <c r="AO17" s="189"/>
    </row>
    <row r="18" spans="1:41" ht="21.75" customHeight="1" x14ac:dyDescent="0.4">
      <c r="A18" s="115" t="s">
        <v>58</v>
      </c>
      <c r="B18" s="190" t="s">
        <v>59</v>
      </c>
      <c r="C18" s="159" t="s">
        <v>60</v>
      </c>
      <c r="D18" s="33" t="s">
        <v>51</v>
      </c>
      <c r="E18" s="43"/>
      <c r="F18" s="34"/>
      <c r="G18" s="67"/>
      <c r="H18" s="34" t="s">
        <v>368</v>
      </c>
      <c r="I18" s="34" t="s">
        <v>369</v>
      </c>
      <c r="J18" s="34" t="s">
        <v>350</v>
      </c>
      <c r="K18" s="34" t="s">
        <v>197</v>
      </c>
      <c r="L18" s="34" t="s">
        <v>70</v>
      </c>
      <c r="M18" s="34" t="s">
        <v>70</v>
      </c>
      <c r="N18" s="34" t="s">
        <v>236</v>
      </c>
      <c r="O18" s="34" t="s">
        <v>304</v>
      </c>
      <c r="P18" s="34" t="s">
        <v>180</v>
      </c>
      <c r="Q18" s="34" t="s">
        <v>350</v>
      </c>
      <c r="R18" s="34" t="s">
        <v>108</v>
      </c>
      <c r="S18" s="34" t="s">
        <v>70</v>
      </c>
      <c r="T18" s="34" t="s">
        <v>70</v>
      </c>
      <c r="U18" s="34" t="s">
        <v>370</v>
      </c>
      <c r="V18" s="34" t="s">
        <v>106</v>
      </c>
      <c r="W18" s="34" t="s">
        <v>371</v>
      </c>
      <c r="X18" s="34" t="s">
        <v>372</v>
      </c>
      <c r="Y18" s="34" t="s">
        <v>304</v>
      </c>
      <c r="Z18" s="34" t="s">
        <v>70</v>
      </c>
      <c r="AA18" s="34" t="s">
        <v>70</v>
      </c>
      <c r="AB18" s="34" t="s">
        <v>221</v>
      </c>
      <c r="AC18" s="34" t="s">
        <v>138</v>
      </c>
      <c r="AD18" s="34" t="s">
        <v>350</v>
      </c>
      <c r="AE18" s="34" t="s">
        <v>373</v>
      </c>
      <c r="AF18" s="34" t="s">
        <v>111</v>
      </c>
      <c r="AG18" s="67" t="s">
        <v>70</v>
      </c>
      <c r="AH18" s="67" t="s">
        <v>70</v>
      </c>
      <c r="AI18" s="34" t="s">
        <v>108</v>
      </c>
      <c r="AJ18" s="160" t="s">
        <v>414</v>
      </c>
      <c r="AK18" s="166"/>
      <c r="AL18" s="108" t="s">
        <v>280</v>
      </c>
      <c r="AM18" s="110"/>
      <c r="AN18" s="183">
        <f>(H18+I18+J18+K18+N18+O18+P18+Q18+R18+U18+V18+W18+X18+Y18+AB18+AC18+AD18+AE18+AF18+AI18)/20</f>
        <v>0.32656249999999998</v>
      </c>
      <c r="AO18" s="105">
        <f>(H19+I19+J19+K19+N19+O19+P19+Q19+R19+U19+V19+X19+Y19+AB19+AD19+AE19+AF19+AI19+AC19)/19</f>
        <v>0.80014619883040949</v>
      </c>
    </row>
    <row r="19" spans="1:41" ht="21.75" customHeight="1" x14ac:dyDescent="0.4">
      <c r="A19" s="116"/>
      <c r="B19" s="186"/>
      <c r="C19" s="120"/>
      <c r="D19" s="25" t="s">
        <v>52</v>
      </c>
      <c r="E19" s="44"/>
      <c r="F19" s="26"/>
      <c r="G19" s="68"/>
      <c r="H19" s="26" t="s">
        <v>158</v>
      </c>
      <c r="I19" s="26" t="s">
        <v>374</v>
      </c>
      <c r="J19" s="26" t="s">
        <v>141</v>
      </c>
      <c r="K19" s="26" t="s">
        <v>158</v>
      </c>
      <c r="L19" s="26" t="s">
        <v>70</v>
      </c>
      <c r="M19" s="26" t="s">
        <v>70</v>
      </c>
      <c r="N19" s="26" t="s">
        <v>186</v>
      </c>
      <c r="O19" s="26" t="s">
        <v>91</v>
      </c>
      <c r="P19" s="26" t="s">
        <v>113</v>
      </c>
      <c r="Q19" s="26" t="s">
        <v>98</v>
      </c>
      <c r="R19" s="26" t="s">
        <v>144</v>
      </c>
      <c r="S19" s="26" t="s">
        <v>70</v>
      </c>
      <c r="T19" s="26" t="s">
        <v>70</v>
      </c>
      <c r="U19" s="26" t="s">
        <v>158</v>
      </c>
      <c r="V19" s="26" t="s">
        <v>123</v>
      </c>
      <c r="W19" s="26" t="s">
        <v>338</v>
      </c>
      <c r="X19" s="26" t="s">
        <v>158</v>
      </c>
      <c r="Y19" s="26" t="s">
        <v>158</v>
      </c>
      <c r="Z19" s="26" t="s">
        <v>70</v>
      </c>
      <c r="AA19" s="26" t="s">
        <v>70</v>
      </c>
      <c r="AB19" s="26" t="s">
        <v>171</v>
      </c>
      <c r="AC19" s="26" t="s">
        <v>98</v>
      </c>
      <c r="AD19" s="26" t="s">
        <v>214</v>
      </c>
      <c r="AE19" s="26" t="s">
        <v>87</v>
      </c>
      <c r="AF19" s="26" t="s">
        <v>112</v>
      </c>
      <c r="AG19" s="68" t="s">
        <v>70</v>
      </c>
      <c r="AH19" s="68" t="s">
        <v>70</v>
      </c>
      <c r="AI19" s="26" t="s">
        <v>343</v>
      </c>
      <c r="AJ19" s="127"/>
      <c r="AK19" s="106"/>
      <c r="AL19" s="194"/>
      <c r="AM19" s="195"/>
      <c r="AN19" s="111"/>
      <c r="AO19" s="181"/>
    </row>
    <row r="20" spans="1:41" ht="21.75" customHeight="1" x14ac:dyDescent="0.4">
      <c r="A20" s="116"/>
      <c r="B20" s="186" t="s">
        <v>53</v>
      </c>
      <c r="C20" s="120" t="s">
        <v>61</v>
      </c>
      <c r="D20" s="25" t="s">
        <v>51</v>
      </c>
      <c r="E20" s="44"/>
      <c r="F20" s="26"/>
      <c r="G20" s="68"/>
      <c r="H20" s="26" t="s">
        <v>73</v>
      </c>
      <c r="I20" s="26" t="s">
        <v>77</v>
      </c>
      <c r="J20" s="26" t="s">
        <v>76</v>
      </c>
      <c r="K20" s="26" t="s">
        <v>345</v>
      </c>
      <c r="L20" s="26" t="s">
        <v>70</v>
      </c>
      <c r="M20" s="26" t="s">
        <v>70</v>
      </c>
      <c r="N20" s="26" t="s">
        <v>134</v>
      </c>
      <c r="O20" s="26" t="s">
        <v>134</v>
      </c>
      <c r="P20" s="26" t="s">
        <v>140</v>
      </c>
      <c r="Q20" s="26" t="s">
        <v>139</v>
      </c>
      <c r="R20" s="26" t="s">
        <v>179</v>
      </c>
      <c r="S20" s="26" t="s">
        <v>70</v>
      </c>
      <c r="T20" s="26" t="s">
        <v>70</v>
      </c>
      <c r="U20" s="26" t="s">
        <v>375</v>
      </c>
      <c r="V20" s="26" t="s">
        <v>97</v>
      </c>
      <c r="W20" s="26" t="s">
        <v>376</v>
      </c>
      <c r="X20" s="26" t="s">
        <v>311</v>
      </c>
      <c r="Y20" s="26" t="s">
        <v>375</v>
      </c>
      <c r="Z20" s="26" t="s">
        <v>70</v>
      </c>
      <c r="AA20" s="26" t="s">
        <v>70</v>
      </c>
      <c r="AB20" s="26" t="s">
        <v>136</v>
      </c>
      <c r="AC20" s="26" t="s">
        <v>69</v>
      </c>
      <c r="AD20" s="26" t="s">
        <v>119</v>
      </c>
      <c r="AE20" s="26" t="s">
        <v>152</v>
      </c>
      <c r="AF20" s="26" t="s">
        <v>100</v>
      </c>
      <c r="AG20" s="68" t="s">
        <v>70</v>
      </c>
      <c r="AH20" s="68" t="s">
        <v>70</v>
      </c>
      <c r="AI20" s="26" t="s">
        <v>161</v>
      </c>
      <c r="AJ20" s="127"/>
      <c r="AK20" s="106"/>
      <c r="AL20" s="194" t="s">
        <v>417</v>
      </c>
      <c r="AM20" s="195">
        <v>0.5</v>
      </c>
      <c r="AN20" s="111">
        <f>(H20+I20+J20+K20+N20+O20+P20+Q20+R20+U20+V20+W20+X20+Y20+AB20+AC20+AD20+AE20+AF20+AI20)/20</f>
        <v>0.35486111111111107</v>
      </c>
      <c r="AO20" s="181">
        <f>(H21+I21+J21+N21+O21+P21+Q21+R21+U21+V21+X21+Y21+AB21+AC21+AD21+AE21+AF21+AI21)/18</f>
        <v>0.79259259259259263</v>
      </c>
    </row>
    <row r="21" spans="1:41" ht="21.75" customHeight="1" x14ac:dyDescent="0.4">
      <c r="A21" s="116"/>
      <c r="B21" s="186"/>
      <c r="C21" s="120"/>
      <c r="D21" s="25" t="s">
        <v>52</v>
      </c>
      <c r="E21" s="44"/>
      <c r="F21" s="26"/>
      <c r="G21" s="68"/>
      <c r="H21" s="26" t="s">
        <v>103</v>
      </c>
      <c r="I21" s="26" t="s">
        <v>86</v>
      </c>
      <c r="J21" s="26" t="s">
        <v>84</v>
      </c>
      <c r="K21" s="41" t="s">
        <v>279</v>
      </c>
      <c r="L21" s="26" t="s">
        <v>70</v>
      </c>
      <c r="M21" s="26" t="s">
        <v>70</v>
      </c>
      <c r="N21" s="26" t="s">
        <v>85</v>
      </c>
      <c r="O21" s="26" t="s">
        <v>101</v>
      </c>
      <c r="P21" s="26" t="s">
        <v>83</v>
      </c>
      <c r="Q21" s="26" t="s">
        <v>84</v>
      </c>
      <c r="R21" s="26" t="s">
        <v>334</v>
      </c>
      <c r="S21" s="26" t="s">
        <v>70</v>
      </c>
      <c r="T21" s="26" t="s">
        <v>70</v>
      </c>
      <c r="U21" s="26" t="s">
        <v>91</v>
      </c>
      <c r="V21" s="26" t="s">
        <v>89</v>
      </c>
      <c r="W21" s="26" t="s">
        <v>377</v>
      </c>
      <c r="X21" s="26" t="s">
        <v>150</v>
      </c>
      <c r="Y21" s="26" t="s">
        <v>334</v>
      </c>
      <c r="Z21" s="26" t="s">
        <v>70</v>
      </c>
      <c r="AA21" s="26" t="s">
        <v>70</v>
      </c>
      <c r="AB21" s="26" t="s">
        <v>378</v>
      </c>
      <c r="AC21" s="26" t="s">
        <v>112</v>
      </c>
      <c r="AD21" s="26" t="s">
        <v>201</v>
      </c>
      <c r="AE21" s="26" t="s">
        <v>379</v>
      </c>
      <c r="AF21" s="26" t="s">
        <v>89</v>
      </c>
      <c r="AG21" s="68" t="s">
        <v>70</v>
      </c>
      <c r="AH21" s="68" t="s">
        <v>70</v>
      </c>
      <c r="AI21" s="26" t="s">
        <v>158</v>
      </c>
      <c r="AJ21" s="127"/>
      <c r="AK21" s="106"/>
      <c r="AL21" s="194"/>
      <c r="AM21" s="195"/>
      <c r="AN21" s="111"/>
      <c r="AO21" s="181"/>
    </row>
    <row r="22" spans="1:41" ht="22.5" customHeight="1" x14ac:dyDescent="0.4">
      <c r="A22" s="116"/>
      <c r="B22" s="186" t="s">
        <v>56</v>
      </c>
      <c r="C22" s="120" t="s">
        <v>32</v>
      </c>
      <c r="D22" s="25" t="s">
        <v>51</v>
      </c>
      <c r="E22" s="44"/>
      <c r="F22" s="26"/>
      <c r="G22" s="68"/>
      <c r="H22" s="26" t="s">
        <v>121</v>
      </c>
      <c r="I22" s="26" t="s">
        <v>69</v>
      </c>
      <c r="J22" s="26" t="s">
        <v>120</v>
      </c>
      <c r="K22" s="26" t="s">
        <v>75</v>
      </c>
      <c r="L22" s="26" t="s">
        <v>70</v>
      </c>
      <c r="M22" s="26" t="s">
        <v>70</v>
      </c>
      <c r="N22" s="26" t="s">
        <v>72</v>
      </c>
      <c r="O22" s="26" t="s">
        <v>68</v>
      </c>
      <c r="P22" s="26" t="s">
        <v>156</v>
      </c>
      <c r="Q22" s="26" t="s">
        <v>120</v>
      </c>
      <c r="R22" s="26" t="s">
        <v>75</v>
      </c>
      <c r="S22" s="26" t="s">
        <v>70</v>
      </c>
      <c r="T22" s="26" t="s">
        <v>70</v>
      </c>
      <c r="U22" s="126" t="s">
        <v>176</v>
      </c>
      <c r="V22" s="26" t="s">
        <v>94</v>
      </c>
      <c r="W22" s="26" t="s">
        <v>75</v>
      </c>
      <c r="X22" s="26" t="s">
        <v>75</v>
      </c>
      <c r="Y22" s="26" t="s">
        <v>75</v>
      </c>
      <c r="Z22" s="26" t="s">
        <v>70</v>
      </c>
      <c r="AA22" s="26" t="s">
        <v>70</v>
      </c>
      <c r="AB22" s="26" t="s">
        <v>75</v>
      </c>
      <c r="AC22" s="26" t="s">
        <v>156</v>
      </c>
      <c r="AD22" s="26" t="s">
        <v>68</v>
      </c>
      <c r="AE22" s="26" t="s">
        <v>120</v>
      </c>
      <c r="AF22" s="26" t="s">
        <v>93</v>
      </c>
      <c r="AG22" s="68" t="s">
        <v>70</v>
      </c>
      <c r="AH22" s="68" t="s">
        <v>70</v>
      </c>
      <c r="AI22" s="26" t="s">
        <v>68</v>
      </c>
      <c r="AJ22" s="112"/>
      <c r="AK22" s="106"/>
      <c r="AL22" s="194"/>
      <c r="AM22" s="195">
        <v>1</v>
      </c>
      <c r="AN22" s="111">
        <f>(H22+I22+J22+K22+N22+O22+P22+Q22+R22+V22+W22+X22+Y22+AB22+AC22+AD22+AE22+AF22+AI22)/19</f>
        <v>0.36659356725146192</v>
      </c>
      <c r="AO22" s="181">
        <f>(H23+I23+J23+K23+N23+O23+P23+Q23+R23+V23+X23+Y23+AB23+AC23+AD23+AE23+AF23+AI23)/18</f>
        <v>0.77627314814814818</v>
      </c>
    </row>
    <row r="23" spans="1:41" ht="21.75" customHeight="1" x14ac:dyDescent="0.4">
      <c r="A23" s="116"/>
      <c r="B23" s="186"/>
      <c r="C23" s="120"/>
      <c r="D23" s="25" t="s">
        <v>52</v>
      </c>
      <c r="E23" s="44"/>
      <c r="F23" s="26"/>
      <c r="G23" s="68"/>
      <c r="H23" s="26" t="s">
        <v>91</v>
      </c>
      <c r="I23" s="26" t="s">
        <v>80</v>
      </c>
      <c r="J23" s="26" t="s">
        <v>102</v>
      </c>
      <c r="K23" s="26" t="s">
        <v>83</v>
      </c>
      <c r="L23" s="26" t="s">
        <v>70</v>
      </c>
      <c r="M23" s="26" t="s">
        <v>70</v>
      </c>
      <c r="N23" s="26" t="s">
        <v>80</v>
      </c>
      <c r="O23" s="26" t="s">
        <v>102</v>
      </c>
      <c r="P23" s="26" t="s">
        <v>88</v>
      </c>
      <c r="Q23" s="26" t="s">
        <v>102</v>
      </c>
      <c r="R23" s="26" t="s">
        <v>101</v>
      </c>
      <c r="S23" s="26" t="s">
        <v>70</v>
      </c>
      <c r="T23" s="26" t="s">
        <v>70</v>
      </c>
      <c r="U23" s="126"/>
      <c r="V23" s="26" t="s">
        <v>89</v>
      </c>
      <c r="W23" s="26" t="s">
        <v>386</v>
      </c>
      <c r="X23" s="26" t="s">
        <v>91</v>
      </c>
      <c r="Y23" s="26" t="s">
        <v>101</v>
      </c>
      <c r="Z23" s="26" t="s">
        <v>70</v>
      </c>
      <c r="AA23" s="26" t="s">
        <v>70</v>
      </c>
      <c r="AB23" s="26" t="s">
        <v>308</v>
      </c>
      <c r="AC23" s="26" t="s">
        <v>84</v>
      </c>
      <c r="AD23" s="26" t="s">
        <v>102</v>
      </c>
      <c r="AE23" s="26" t="s">
        <v>89</v>
      </c>
      <c r="AF23" s="26" t="s">
        <v>89</v>
      </c>
      <c r="AG23" s="68" t="s">
        <v>70</v>
      </c>
      <c r="AH23" s="68" t="s">
        <v>70</v>
      </c>
      <c r="AI23" s="26" t="s">
        <v>102</v>
      </c>
      <c r="AJ23" s="112"/>
      <c r="AK23" s="106"/>
      <c r="AL23" s="194"/>
      <c r="AM23" s="195"/>
      <c r="AN23" s="111"/>
      <c r="AO23" s="181"/>
    </row>
    <row r="24" spans="1:41" ht="21.75" customHeight="1" x14ac:dyDescent="0.4">
      <c r="A24" s="116"/>
      <c r="B24" s="186" t="s">
        <v>56</v>
      </c>
      <c r="C24" s="120" t="s">
        <v>63</v>
      </c>
      <c r="D24" s="25" t="s">
        <v>51</v>
      </c>
      <c r="E24" s="44"/>
      <c r="F24" s="26"/>
      <c r="G24" s="68"/>
      <c r="H24" s="204" t="s">
        <v>415</v>
      </c>
      <c r="I24" s="26" t="s">
        <v>94</v>
      </c>
      <c r="J24" s="26" t="s">
        <v>162</v>
      </c>
      <c r="K24" s="26" t="s">
        <v>139</v>
      </c>
      <c r="L24" s="26" t="s">
        <v>70</v>
      </c>
      <c r="M24" s="26" t="s">
        <v>70</v>
      </c>
      <c r="N24" s="26" t="s">
        <v>215</v>
      </c>
      <c r="O24" s="26" t="s">
        <v>162</v>
      </c>
      <c r="P24" s="26" t="s">
        <v>162</v>
      </c>
      <c r="Q24" s="26" t="s">
        <v>121</v>
      </c>
      <c r="R24" s="26" t="s">
        <v>99</v>
      </c>
      <c r="S24" s="26" t="s">
        <v>70</v>
      </c>
      <c r="T24" s="26" t="s">
        <v>70</v>
      </c>
      <c r="U24" s="26" t="s">
        <v>156</v>
      </c>
      <c r="V24" s="26" t="s">
        <v>160</v>
      </c>
      <c r="W24" s="26" t="s">
        <v>94</v>
      </c>
      <c r="X24" s="26" t="s">
        <v>74</v>
      </c>
      <c r="Y24" s="26" t="s">
        <v>99</v>
      </c>
      <c r="Z24" s="26" t="s">
        <v>70</v>
      </c>
      <c r="AA24" s="26" t="s">
        <v>70</v>
      </c>
      <c r="AB24" s="26" t="s">
        <v>71</v>
      </c>
      <c r="AC24" s="26" t="s">
        <v>75</v>
      </c>
      <c r="AD24" s="26" t="s">
        <v>93</v>
      </c>
      <c r="AE24" s="26" t="s">
        <v>73</v>
      </c>
      <c r="AF24" s="26" t="s">
        <v>73</v>
      </c>
      <c r="AG24" s="68" t="s">
        <v>70</v>
      </c>
      <c r="AH24" s="68" t="s">
        <v>70</v>
      </c>
      <c r="AI24" s="26" t="s">
        <v>73</v>
      </c>
      <c r="AJ24" s="194"/>
      <c r="AK24" s="106"/>
      <c r="AL24" s="194" t="s">
        <v>419</v>
      </c>
      <c r="AM24" s="195">
        <v>0.5</v>
      </c>
      <c r="AN24" s="111">
        <f>(I24+J24+K24+N24+O24+P24+Q24+R24+U24+V24+W24+X24+Y24+AB24+AC24+AD24+AE24+AF24+AI24)/19</f>
        <v>0.36388888888888887</v>
      </c>
      <c r="AO24" s="181">
        <f>(I25+J25+K25+N25+O25+P25+Q25+U25+V25+X25+Y25+AB25+AC25+AD25+AE25+AF25+AI25)/17</f>
        <v>0.79158496732026151</v>
      </c>
    </row>
    <row r="25" spans="1:41" ht="21.75" customHeight="1" x14ac:dyDescent="0.4">
      <c r="A25" s="116"/>
      <c r="B25" s="186"/>
      <c r="C25" s="120"/>
      <c r="D25" s="25" t="s">
        <v>52</v>
      </c>
      <c r="E25" s="44"/>
      <c r="F25" s="26"/>
      <c r="G25" s="68"/>
      <c r="H25" s="205"/>
      <c r="I25" s="26" t="s">
        <v>396</v>
      </c>
      <c r="J25" s="26" t="s">
        <v>91</v>
      </c>
      <c r="K25" s="26" t="s">
        <v>175</v>
      </c>
      <c r="L25" s="26" t="s">
        <v>70</v>
      </c>
      <c r="M25" s="26" t="s">
        <v>70</v>
      </c>
      <c r="N25" s="26" t="s">
        <v>308</v>
      </c>
      <c r="O25" s="26" t="s">
        <v>91</v>
      </c>
      <c r="P25" s="26" t="s">
        <v>90</v>
      </c>
      <c r="Q25" s="26" t="s">
        <v>173</v>
      </c>
      <c r="R25" s="41" t="s">
        <v>279</v>
      </c>
      <c r="S25" s="26" t="s">
        <v>70</v>
      </c>
      <c r="T25" s="26" t="s">
        <v>70</v>
      </c>
      <c r="U25" s="26" t="s">
        <v>169</v>
      </c>
      <c r="V25" s="26" t="s">
        <v>91</v>
      </c>
      <c r="W25" s="26" t="s">
        <v>397</v>
      </c>
      <c r="X25" s="26" t="s">
        <v>91</v>
      </c>
      <c r="Y25" s="26" t="s">
        <v>91</v>
      </c>
      <c r="Z25" s="26" t="s">
        <v>70</v>
      </c>
      <c r="AA25" s="26" t="s">
        <v>70</v>
      </c>
      <c r="AB25" s="26" t="s">
        <v>83</v>
      </c>
      <c r="AC25" s="26" t="s">
        <v>101</v>
      </c>
      <c r="AD25" s="26" t="s">
        <v>309</v>
      </c>
      <c r="AE25" s="26" t="s">
        <v>309</v>
      </c>
      <c r="AF25" s="26" t="s">
        <v>123</v>
      </c>
      <c r="AG25" s="68" t="s">
        <v>70</v>
      </c>
      <c r="AH25" s="68" t="s">
        <v>70</v>
      </c>
      <c r="AI25" s="26" t="s">
        <v>91</v>
      </c>
      <c r="AJ25" s="194"/>
      <c r="AK25" s="106"/>
      <c r="AL25" s="194"/>
      <c r="AM25" s="195"/>
      <c r="AN25" s="111"/>
      <c r="AO25" s="181"/>
    </row>
    <row r="26" spans="1:41" ht="21.75" customHeight="1" x14ac:dyDescent="0.4">
      <c r="A26" s="116"/>
      <c r="B26" s="186" t="s">
        <v>56</v>
      </c>
      <c r="C26" s="120" t="s">
        <v>219</v>
      </c>
      <c r="D26" s="25" t="s">
        <v>51</v>
      </c>
      <c r="E26" s="44"/>
      <c r="F26" s="44"/>
      <c r="G26" s="68"/>
      <c r="H26" s="26" t="s">
        <v>109</v>
      </c>
      <c r="I26" s="26" t="s">
        <v>152</v>
      </c>
      <c r="J26" s="26" t="s">
        <v>74</v>
      </c>
      <c r="K26" s="26" t="s">
        <v>311</v>
      </c>
      <c r="L26" s="26" t="s">
        <v>70</v>
      </c>
      <c r="M26" s="26" t="s">
        <v>70</v>
      </c>
      <c r="N26" s="26" t="s">
        <v>109</v>
      </c>
      <c r="O26" s="26" t="s">
        <v>75</v>
      </c>
      <c r="P26" s="26" t="s">
        <v>187</v>
      </c>
      <c r="Q26" s="26" t="s">
        <v>139</v>
      </c>
      <c r="R26" s="26" t="s">
        <v>139</v>
      </c>
      <c r="S26" s="26" t="s">
        <v>70</v>
      </c>
      <c r="T26" s="26" t="s">
        <v>70</v>
      </c>
      <c r="U26" s="26" t="s">
        <v>346</v>
      </c>
      <c r="V26" s="26" t="s">
        <v>136</v>
      </c>
      <c r="W26" s="126" t="s">
        <v>176</v>
      </c>
      <c r="X26" s="26" t="s">
        <v>302</v>
      </c>
      <c r="Y26" s="26" t="s">
        <v>215</v>
      </c>
      <c r="Z26" s="26" t="s">
        <v>70</v>
      </c>
      <c r="AA26" s="26" t="s">
        <v>70</v>
      </c>
      <c r="AB26" s="26" t="s">
        <v>142</v>
      </c>
      <c r="AC26" s="26" t="s">
        <v>100</v>
      </c>
      <c r="AD26" s="26" t="s">
        <v>193</v>
      </c>
      <c r="AE26" s="26" t="s">
        <v>110</v>
      </c>
      <c r="AF26" s="26" t="s">
        <v>152</v>
      </c>
      <c r="AG26" s="68" t="s">
        <v>70</v>
      </c>
      <c r="AH26" s="68" t="s">
        <v>70</v>
      </c>
      <c r="AI26" s="26" t="s">
        <v>99</v>
      </c>
      <c r="AJ26" s="160">
        <v>1</v>
      </c>
      <c r="AK26" s="106"/>
      <c r="AL26" s="194" t="s">
        <v>418</v>
      </c>
      <c r="AM26" s="195">
        <v>1</v>
      </c>
      <c r="AN26" s="111">
        <f>(H26+I26+J26+K26+N26+O26+P26+Q26+R26+U26+V26+X26+Y26+AB26+AC26+AD26+AE26+AF26+AI26)/19</f>
        <v>0.35182748538011693</v>
      </c>
      <c r="AO26" s="181">
        <f>(H27+I27+J27+K27+N27+P27+Q27+R27+U27+V27+X27+Y27+AB27+AC27+AD27+AE27+AF27+AI27)/18</f>
        <v>0.79656635802469145</v>
      </c>
    </row>
    <row r="27" spans="1:41" ht="21.75" customHeight="1" x14ac:dyDescent="0.4">
      <c r="A27" s="117"/>
      <c r="B27" s="186"/>
      <c r="C27" s="120"/>
      <c r="D27" s="25" t="s">
        <v>52</v>
      </c>
      <c r="E27" s="44"/>
      <c r="F27" s="44"/>
      <c r="G27" s="68"/>
      <c r="H27" s="26" t="s">
        <v>85</v>
      </c>
      <c r="I27" s="26" t="s">
        <v>403</v>
      </c>
      <c r="J27" s="26" t="s">
        <v>173</v>
      </c>
      <c r="K27" s="26" t="s">
        <v>309</v>
      </c>
      <c r="L27" s="26" t="s">
        <v>70</v>
      </c>
      <c r="M27" s="26" t="s">
        <v>70</v>
      </c>
      <c r="N27" s="26" t="s">
        <v>308</v>
      </c>
      <c r="O27" s="71" t="s">
        <v>421</v>
      </c>
      <c r="P27" s="26" t="s">
        <v>103</v>
      </c>
      <c r="Q27" s="26" t="s">
        <v>188</v>
      </c>
      <c r="R27" s="26" t="s">
        <v>326</v>
      </c>
      <c r="S27" s="26" t="s">
        <v>70</v>
      </c>
      <c r="T27" s="26" t="s">
        <v>70</v>
      </c>
      <c r="U27" s="26" t="s">
        <v>169</v>
      </c>
      <c r="V27" s="26" t="s">
        <v>91</v>
      </c>
      <c r="W27" s="126"/>
      <c r="X27" s="26" t="s">
        <v>391</v>
      </c>
      <c r="Y27" s="26" t="s">
        <v>169</v>
      </c>
      <c r="Z27" s="26" t="s">
        <v>70</v>
      </c>
      <c r="AA27" s="26" t="s">
        <v>70</v>
      </c>
      <c r="AB27" s="26" t="s">
        <v>214</v>
      </c>
      <c r="AC27" s="26" t="s">
        <v>150</v>
      </c>
      <c r="AD27" s="26" t="s">
        <v>309</v>
      </c>
      <c r="AE27" s="26" t="s">
        <v>123</v>
      </c>
      <c r="AF27" s="26" t="s">
        <v>84</v>
      </c>
      <c r="AG27" s="68" t="s">
        <v>70</v>
      </c>
      <c r="AH27" s="68" t="s">
        <v>70</v>
      </c>
      <c r="AI27" s="26" t="s">
        <v>123</v>
      </c>
      <c r="AJ27" s="127"/>
      <c r="AK27" s="106"/>
      <c r="AL27" s="194"/>
      <c r="AM27" s="195"/>
      <c r="AN27" s="111"/>
      <c r="AO27" s="181"/>
    </row>
    <row r="28" spans="1:41" ht="21.75" customHeight="1" x14ac:dyDescent="0.4">
      <c r="A28" s="117"/>
      <c r="B28" s="186" t="s">
        <v>56</v>
      </c>
      <c r="C28" s="120" t="s">
        <v>242</v>
      </c>
      <c r="D28" s="25" t="s">
        <v>51</v>
      </c>
      <c r="E28" s="44"/>
      <c r="F28" s="26"/>
      <c r="G28" s="68"/>
      <c r="H28" s="26" t="s">
        <v>73</v>
      </c>
      <c r="I28" s="26" t="s">
        <v>72</v>
      </c>
      <c r="J28" s="26" t="s">
        <v>68</v>
      </c>
      <c r="K28" s="26" t="s">
        <v>74</v>
      </c>
      <c r="L28" s="26" t="s">
        <v>70</v>
      </c>
      <c r="M28" s="26" t="s">
        <v>70</v>
      </c>
      <c r="N28" s="26" t="s">
        <v>69</v>
      </c>
      <c r="O28" s="26" t="s">
        <v>121</v>
      </c>
      <c r="P28" s="26" t="s">
        <v>121</v>
      </c>
      <c r="Q28" s="26" t="s">
        <v>72</v>
      </c>
      <c r="R28" s="26" t="s">
        <v>121</v>
      </c>
      <c r="S28" s="26" t="s">
        <v>70</v>
      </c>
      <c r="T28" s="26" t="s">
        <v>70</v>
      </c>
      <c r="U28" s="26" t="s">
        <v>68</v>
      </c>
      <c r="V28" s="26" t="s">
        <v>152</v>
      </c>
      <c r="W28" s="26" t="s">
        <v>75</v>
      </c>
      <c r="X28" s="26" t="s">
        <v>76</v>
      </c>
      <c r="Y28" s="26" t="s">
        <v>68</v>
      </c>
      <c r="Z28" s="26" t="s">
        <v>70</v>
      </c>
      <c r="AA28" s="26" t="s">
        <v>70</v>
      </c>
      <c r="AB28" s="26" t="s">
        <v>75</v>
      </c>
      <c r="AC28" s="126" t="s">
        <v>176</v>
      </c>
      <c r="AD28" s="26" t="s">
        <v>72</v>
      </c>
      <c r="AE28" s="26" t="s">
        <v>75</v>
      </c>
      <c r="AF28" s="26" t="s">
        <v>75</v>
      </c>
      <c r="AG28" s="68" t="s">
        <v>70</v>
      </c>
      <c r="AH28" s="68" t="s">
        <v>70</v>
      </c>
      <c r="AI28" s="26" t="s">
        <v>73</v>
      </c>
      <c r="AJ28" s="112"/>
      <c r="AK28" s="106"/>
      <c r="AL28" s="194"/>
      <c r="AM28" s="195">
        <v>1</v>
      </c>
      <c r="AN28" s="111">
        <f>(H28+I28+J28+K28+N28+O28+P28+Q28+R28+U28+V28+W28+X28+Y28+AB28+AD28+AE28+AF28+AI28)/19</f>
        <v>0.36575292397660819</v>
      </c>
      <c r="AO28" s="181">
        <f>(H29+I29+J29+K29+N29+O29+P29+Q29+R29+U29+V29+X29+Y29+AB29+AD29+AE29+AF29+AI29)/18</f>
        <v>0.78769290123456803</v>
      </c>
    </row>
    <row r="29" spans="1:41" ht="21.75" customHeight="1" thickBot="1" x14ac:dyDescent="0.45">
      <c r="A29" s="117"/>
      <c r="B29" s="187"/>
      <c r="C29" s="121"/>
      <c r="D29" s="31" t="s">
        <v>52</v>
      </c>
      <c r="E29" s="45"/>
      <c r="F29" s="32"/>
      <c r="G29" s="69"/>
      <c r="H29" s="32" t="s">
        <v>85</v>
      </c>
      <c r="I29" s="32" t="s">
        <v>147</v>
      </c>
      <c r="J29" s="32" t="s">
        <v>173</v>
      </c>
      <c r="K29" s="32" t="s">
        <v>309</v>
      </c>
      <c r="L29" s="32" t="s">
        <v>70</v>
      </c>
      <c r="M29" s="32" t="s">
        <v>70</v>
      </c>
      <c r="N29" s="32" t="s">
        <v>165</v>
      </c>
      <c r="O29" s="32" t="s">
        <v>89</v>
      </c>
      <c r="P29" s="32" t="s">
        <v>89</v>
      </c>
      <c r="Q29" s="32" t="s">
        <v>188</v>
      </c>
      <c r="R29" s="32" t="s">
        <v>307</v>
      </c>
      <c r="S29" s="32" t="s">
        <v>70</v>
      </c>
      <c r="T29" s="32" t="s">
        <v>70</v>
      </c>
      <c r="U29" s="32" t="s">
        <v>114</v>
      </c>
      <c r="V29" s="32" t="s">
        <v>102</v>
      </c>
      <c r="W29" s="32" t="s">
        <v>103</v>
      </c>
      <c r="X29" s="32" t="s">
        <v>91</v>
      </c>
      <c r="Y29" s="32" t="s">
        <v>90</v>
      </c>
      <c r="Z29" s="32" t="s">
        <v>70</v>
      </c>
      <c r="AA29" s="32" t="s">
        <v>70</v>
      </c>
      <c r="AB29" s="32" t="s">
        <v>199</v>
      </c>
      <c r="AC29" s="182"/>
      <c r="AD29" s="32" t="s">
        <v>309</v>
      </c>
      <c r="AE29" s="32" t="s">
        <v>98</v>
      </c>
      <c r="AF29" s="32" t="s">
        <v>103</v>
      </c>
      <c r="AG29" s="69" t="s">
        <v>70</v>
      </c>
      <c r="AH29" s="69" t="s">
        <v>70</v>
      </c>
      <c r="AI29" s="32" t="s">
        <v>123</v>
      </c>
      <c r="AJ29" s="122"/>
      <c r="AK29" s="167"/>
      <c r="AL29" s="196"/>
      <c r="AM29" s="197"/>
      <c r="AN29" s="188"/>
      <c r="AO29" s="189"/>
    </row>
    <row r="30" spans="1:41" ht="21.75" customHeight="1" x14ac:dyDescent="0.4">
      <c r="A30" s="123" t="s">
        <v>64</v>
      </c>
      <c r="B30" s="190" t="s">
        <v>59</v>
      </c>
      <c r="C30" s="159" t="s">
        <v>65</v>
      </c>
      <c r="D30" s="33" t="s">
        <v>51</v>
      </c>
      <c r="E30" s="43"/>
      <c r="F30" s="34"/>
      <c r="G30" s="67"/>
      <c r="H30" s="34" t="s">
        <v>119</v>
      </c>
      <c r="I30" s="34" t="s">
        <v>161</v>
      </c>
      <c r="J30" s="34" t="s">
        <v>74</v>
      </c>
      <c r="K30" s="34" t="s">
        <v>365</v>
      </c>
      <c r="L30" s="34" t="s">
        <v>70</v>
      </c>
      <c r="M30" s="34" t="s">
        <v>70</v>
      </c>
      <c r="N30" s="34" t="s">
        <v>95</v>
      </c>
      <c r="O30" s="34" t="s">
        <v>95</v>
      </c>
      <c r="P30" s="202" t="s">
        <v>413</v>
      </c>
      <c r="Q30" s="202"/>
      <c r="R30" s="202"/>
      <c r="S30" s="34" t="s">
        <v>70</v>
      </c>
      <c r="T30" s="34" t="s">
        <v>70</v>
      </c>
      <c r="U30" s="34" t="s">
        <v>119</v>
      </c>
      <c r="V30" s="34" t="s">
        <v>95</v>
      </c>
      <c r="W30" s="34" t="s">
        <v>142</v>
      </c>
      <c r="X30" s="34" t="s">
        <v>124</v>
      </c>
      <c r="Y30" s="34" t="s">
        <v>134</v>
      </c>
      <c r="Z30" s="34" t="s">
        <v>70</v>
      </c>
      <c r="AA30" s="34" t="s">
        <v>70</v>
      </c>
      <c r="AB30" s="34" t="s">
        <v>100</v>
      </c>
      <c r="AC30" s="34" t="s">
        <v>110</v>
      </c>
      <c r="AD30" s="34" t="s">
        <v>143</v>
      </c>
      <c r="AE30" s="34" t="s">
        <v>78</v>
      </c>
      <c r="AF30" s="34" t="s">
        <v>142</v>
      </c>
      <c r="AG30" s="67" t="s">
        <v>70</v>
      </c>
      <c r="AH30" s="67" t="s">
        <v>70</v>
      </c>
      <c r="AI30" s="34" t="s">
        <v>95</v>
      </c>
      <c r="AJ30" s="160" t="s">
        <v>419</v>
      </c>
      <c r="AK30" s="166"/>
      <c r="AL30" s="108" t="s">
        <v>419</v>
      </c>
      <c r="AM30" s="110"/>
      <c r="AN30" s="183">
        <f>(H30+I30+J30+K30+N30+O30+U30+V30+W30+X30+Y30+AB30+AC30+AD30+AE30+AF30+AI30)/17</f>
        <v>0.35637254901960791</v>
      </c>
      <c r="AO30" s="105">
        <f>(H31+I31+J31+K31+N31+O31+U31+V31+X31+Y31+AB31+AC31+AD31+AE31+AF31+AI31)/16</f>
        <v>0.81289062499999998</v>
      </c>
    </row>
    <row r="31" spans="1:41" ht="21.75" customHeight="1" x14ac:dyDescent="0.4">
      <c r="A31" s="124"/>
      <c r="B31" s="186"/>
      <c r="C31" s="120"/>
      <c r="D31" s="25" t="s">
        <v>52</v>
      </c>
      <c r="E31" s="44"/>
      <c r="F31" s="26"/>
      <c r="G31" s="68"/>
      <c r="H31" s="26" t="s">
        <v>334</v>
      </c>
      <c r="I31" s="26" t="s">
        <v>294</v>
      </c>
      <c r="J31" s="26" t="s">
        <v>190</v>
      </c>
      <c r="K31" s="26" t="s">
        <v>183</v>
      </c>
      <c r="L31" s="26" t="s">
        <v>70</v>
      </c>
      <c r="M31" s="26" t="s">
        <v>70</v>
      </c>
      <c r="N31" s="26" t="s">
        <v>114</v>
      </c>
      <c r="O31" s="26" t="s">
        <v>208</v>
      </c>
      <c r="P31" s="126"/>
      <c r="Q31" s="126"/>
      <c r="R31" s="126"/>
      <c r="S31" s="26" t="s">
        <v>70</v>
      </c>
      <c r="T31" s="26" t="s">
        <v>70</v>
      </c>
      <c r="U31" s="26" t="s">
        <v>366</v>
      </c>
      <c r="V31" s="26" t="s">
        <v>98</v>
      </c>
      <c r="W31" s="26" t="s">
        <v>165</v>
      </c>
      <c r="X31" s="26" t="s">
        <v>148</v>
      </c>
      <c r="Y31" s="26" t="s">
        <v>98</v>
      </c>
      <c r="Z31" s="26" t="s">
        <v>70</v>
      </c>
      <c r="AA31" s="26" t="s">
        <v>70</v>
      </c>
      <c r="AB31" s="26" t="s">
        <v>339</v>
      </c>
      <c r="AC31" s="26" t="s">
        <v>327</v>
      </c>
      <c r="AD31" s="26" t="s">
        <v>294</v>
      </c>
      <c r="AE31" s="26" t="s">
        <v>112</v>
      </c>
      <c r="AF31" s="26" t="s">
        <v>367</v>
      </c>
      <c r="AG31" s="68" t="s">
        <v>70</v>
      </c>
      <c r="AH31" s="68" t="s">
        <v>70</v>
      </c>
      <c r="AI31" s="26" t="s">
        <v>155</v>
      </c>
      <c r="AJ31" s="127"/>
      <c r="AK31" s="106"/>
      <c r="AL31" s="194"/>
      <c r="AM31" s="195"/>
      <c r="AN31" s="111"/>
      <c r="AO31" s="181"/>
    </row>
    <row r="32" spans="1:41" ht="21.75" customHeight="1" x14ac:dyDescent="0.4">
      <c r="A32" s="124"/>
      <c r="B32" s="186" t="s">
        <v>67</v>
      </c>
      <c r="C32" s="120" t="s">
        <v>66</v>
      </c>
      <c r="D32" s="25" t="s">
        <v>51</v>
      </c>
      <c r="E32" s="44"/>
      <c r="F32" s="26"/>
      <c r="G32" s="68"/>
      <c r="H32" s="26" t="s">
        <v>94</v>
      </c>
      <c r="I32" s="26" t="s">
        <v>78</v>
      </c>
      <c r="J32" s="26" t="s">
        <v>94</v>
      </c>
      <c r="K32" s="26" t="s">
        <v>73</v>
      </c>
      <c r="L32" s="26" t="s">
        <v>70</v>
      </c>
      <c r="M32" s="26" t="s">
        <v>70</v>
      </c>
      <c r="N32" s="126" t="s">
        <v>176</v>
      </c>
      <c r="O32" s="26" t="s">
        <v>152</v>
      </c>
      <c r="P32" s="26" t="s">
        <v>74</v>
      </c>
      <c r="Q32" s="29" t="s">
        <v>387</v>
      </c>
      <c r="R32" s="26" t="s">
        <v>73</v>
      </c>
      <c r="S32" s="26" t="s">
        <v>70</v>
      </c>
      <c r="T32" s="26" t="s">
        <v>70</v>
      </c>
      <c r="U32" s="26" t="s">
        <v>74</v>
      </c>
      <c r="V32" s="26" t="s">
        <v>71</v>
      </c>
      <c r="W32" s="26" t="s">
        <v>74</v>
      </c>
      <c r="X32" s="26" t="s">
        <v>73</v>
      </c>
      <c r="Y32" s="26" t="s">
        <v>73</v>
      </c>
      <c r="Z32" s="26" t="s">
        <v>70</v>
      </c>
      <c r="AA32" s="26" t="s">
        <v>70</v>
      </c>
      <c r="AB32" s="26" t="s">
        <v>99</v>
      </c>
      <c r="AC32" s="126" t="s">
        <v>176</v>
      </c>
      <c r="AD32" s="26" t="s">
        <v>76</v>
      </c>
      <c r="AE32" s="26" t="s">
        <v>78</v>
      </c>
      <c r="AF32" s="26" t="s">
        <v>78</v>
      </c>
      <c r="AG32" s="68" t="s">
        <v>70</v>
      </c>
      <c r="AH32" s="68" t="s">
        <v>70</v>
      </c>
      <c r="AI32" s="26" t="s">
        <v>74</v>
      </c>
      <c r="AJ32" s="112"/>
      <c r="AK32" s="106" t="s">
        <v>419</v>
      </c>
      <c r="AL32" s="194" t="s">
        <v>420</v>
      </c>
      <c r="AM32" s="195">
        <v>2</v>
      </c>
      <c r="AN32" s="111">
        <f>(H32+I32+J32+K32+O32+P32+Q32+R32+U32+V32+W32+X32+Y32+AB32+AD32+AE32+AF32+AI32)/18</f>
        <v>0.36292438271604943</v>
      </c>
      <c r="AO32" s="181">
        <f>(H33+I33+J33+K33+O33+P33+Q33+R33+U33+V33+X33+Y33+AB33+AD33+AE33+AF33+AI33)/17</f>
        <v>0.83676470588235308</v>
      </c>
    </row>
    <row r="33" spans="1:41" ht="21.75" customHeight="1" x14ac:dyDescent="0.4">
      <c r="A33" s="124"/>
      <c r="B33" s="186"/>
      <c r="C33" s="120"/>
      <c r="D33" s="25" t="s">
        <v>52</v>
      </c>
      <c r="E33" s="44"/>
      <c r="F33" s="26"/>
      <c r="G33" s="68"/>
      <c r="H33" s="26" t="s">
        <v>388</v>
      </c>
      <c r="I33" s="26" t="s">
        <v>127</v>
      </c>
      <c r="J33" s="26" t="s">
        <v>214</v>
      </c>
      <c r="K33" s="26" t="s">
        <v>389</v>
      </c>
      <c r="L33" s="26" t="s">
        <v>70</v>
      </c>
      <c r="M33" s="26" t="s">
        <v>70</v>
      </c>
      <c r="N33" s="126"/>
      <c r="O33" s="26" t="s">
        <v>333</v>
      </c>
      <c r="P33" s="26" t="s">
        <v>305</v>
      </c>
      <c r="Q33" s="26" t="s">
        <v>195</v>
      </c>
      <c r="R33" s="26" t="s">
        <v>155</v>
      </c>
      <c r="S33" s="26" t="s">
        <v>70</v>
      </c>
      <c r="T33" s="26" t="s">
        <v>70</v>
      </c>
      <c r="U33" s="26" t="s">
        <v>390</v>
      </c>
      <c r="V33" s="26" t="s">
        <v>153</v>
      </c>
      <c r="W33" s="26" t="s">
        <v>349</v>
      </c>
      <c r="X33" s="26" t="s">
        <v>131</v>
      </c>
      <c r="Y33" s="26" t="s">
        <v>295</v>
      </c>
      <c r="Z33" s="26" t="s">
        <v>70</v>
      </c>
      <c r="AA33" s="26" t="s">
        <v>70</v>
      </c>
      <c r="AB33" s="26" t="s">
        <v>391</v>
      </c>
      <c r="AC33" s="126"/>
      <c r="AD33" s="26" t="s">
        <v>392</v>
      </c>
      <c r="AE33" s="26" t="s">
        <v>331</v>
      </c>
      <c r="AF33" s="26" t="s">
        <v>393</v>
      </c>
      <c r="AG33" s="68" t="s">
        <v>70</v>
      </c>
      <c r="AH33" s="68" t="s">
        <v>70</v>
      </c>
      <c r="AI33" s="26" t="s">
        <v>394</v>
      </c>
      <c r="AJ33" s="112"/>
      <c r="AK33" s="106"/>
      <c r="AL33" s="194"/>
      <c r="AM33" s="195"/>
      <c r="AN33" s="111"/>
      <c r="AO33" s="181"/>
    </row>
    <row r="34" spans="1:41" ht="21.75" customHeight="1" x14ac:dyDescent="0.4">
      <c r="A34" s="124"/>
      <c r="B34" s="186" t="s">
        <v>49</v>
      </c>
      <c r="C34" s="120" t="s">
        <v>194</v>
      </c>
      <c r="D34" s="25" t="s">
        <v>51</v>
      </c>
      <c r="E34" s="44"/>
      <c r="F34" s="26"/>
      <c r="G34" s="68"/>
      <c r="H34" s="26" t="s">
        <v>68</v>
      </c>
      <c r="I34" s="26" t="s">
        <v>71</v>
      </c>
      <c r="J34" s="26" t="s">
        <v>122</v>
      </c>
      <c r="K34" s="29" t="s">
        <v>163</v>
      </c>
      <c r="L34" s="26" t="s">
        <v>70</v>
      </c>
      <c r="M34" s="26" t="s">
        <v>70</v>
      </c>
      <c r="N34" s="26" t="s">
        <v>68</v>
      </c>
      <c r="O34" s="26" t="s">
        <v>162</v>
      </c>
      <c r="P34" s="26" t="s">
        <v>71</v>
      </c>
      <c r="Q34" s="29" t="s">
        <v>163</v>
      </c>
      <c r="R34" s="26" t="s">
        <v>160</v>
      </c>
      <c r="S34" s="26" t="s">
        <v>70</v>
      </c>
      <c r="T34" s="26" t="s">
        <v>70</v>
      </c>
      <c r="U34" s="26" t="s">
        <v>68</v>
      </c>
      <c r="V34" s="26" t="s">
        <v>121</v>
      </c>
      <c r="W34" s="41" t="s">
        <v>279</v>
      </c>
      <c r="X34" s="26" t="s">
        <v>162</v>
      </c>
      <c r="Y34" s="26" t="s">
        <v>135</v>
      </c>
      <c r="Z34" s="26" t="s">
        <v>70</v>
      </c>
      <c r="AA34" s="26" t="s">
        <v>70</v>
      </c>
      <c r="AB34" s="26" t="s">
        <v>156</v>
      </c>
      <c r="AC34" s="26" t="s">
        <v>71</v>
      </c>
      <c r="AD34" s="26" t="s">
        <v>75</v>
      </c>
      <c r="AE34" s="26" t="s">
        <v>149</v>
      </c>
      <c r="AF34" s="26" t="s">
        <v>71</v>
      </c>
      <c r="AG34" s="68" t="s">
        <v>70</v>
      </c>
      <c r="AH34" s="68" t="s">
        <v>70</v>
      </c>
      <c r="AI34" s="26" t="s">
        <v>68</v>
      </c>
      <c r="AJ34" s="112"/>
      <c r="AK34" s="106" t="s">
        <v>422</v>
      </c>
      <c r="AL34" s="106"/>
      <c r="AM34" s="195">
        <v>1</v>
      </c>
      <c r="AN34" s="111">
        <f>(H34+I34+J34+K34+N34+O34+P34+Q34+R34+U34+V34+X34+Y34+AB34+AC34+AD34+AE34+AF34+AI34)/19</f>
        <v>0.37108918128654966</v>
      </c>
      <c r="AO34" s="181">
        <f>(H35+I35+J35+K35+N35+O35+P35+Q35+R35+U35+V35+X35+Y35+AB35+AC35+AE35+AF35+AI35)/18</f>
        <v>0.78314043209876538</v>
      </c>
    </row>
    <row r="35" spans="1:41" ht="21.75" customHeight="1" x14ac:dyDescent="0.4">
      <c r="A35" s="124"/>
      <c r="B35" s="186"/>
      <c r="C35" s="120"/>
      <c r="D35" s="25" t="s">
        <v>52</v>
      </c>
      <c r="E35" s="44"/>
      <c r="F35" s="26"/>
      <c r="G35" s="68"/>
      <c r="H35" s="26" t="s">
        <v>296</v>
      </c>
      <c r="I35" s="26" t="s">
        <v>86</v>
      </c>
      <c r="J35" s="26" t="s">
        <v>165</v>
      </c>
      <c r="K35" s="26" t="s">
        <v>90</v>
      </c>
      <c r="L35" s="26" t="s">
        <v>70</v>
      </c>
      <c r="M35" s="26" t="s">
        <v>70</v>
      </c>
      <c r="N35" s="26" t="s">
        <v>154</v>
      </c>
      <c r="O35" s="26" t="s">
        <v>150</v>
      </c>
      <c r="P35" s="26" t="s">
        <v>312</v>
      </c>
      <c r="Q35" s="26" t="s">
        <v>312</v>
      </c>
      <c r="R35" s="26" t="s">
        <v>91</v>
      </c>
      <c r="S35" s="26" t="s">
        <v>70</v>
      </c>
      <c r="T35" s="26" t="s">
        <v>70</v>
      </c>
      <c r="U35" s="26" t="s">
        <v>150</v>
      </c>
      <c r="V35" s="26" t="s">
        <v>85</v>
      </c>
      <c r="W35" s="26" t="s">
        <v>400</v>
      </c>
      <c r="X35" s="26" t="s">
        <v>84</v>
      </c>
      <c r="Y35" s="26" t="s">
        <v>80</v>
      </c>
      <c r="Z35" s="26" t="s">
        <v>70</v>
      </c>
      <c r="AA35" s="26" t="s">
        <v>70</v>
      </c>
      <c r="AB35" s="26" t="s">
        <v>165</v>
      </c>
      <c r="AC35" s="26" t="s">
        <v>309</v>
      </c>
      <c r="AD35" s="41" t="s">
        <v>279</v>
      </c>
      <c r="AE35" s="26" t="s">
        <v>141</v>
      </c>
      <c r="AF35" s="26" t="s">
        <v>123</v>
      </c>
      <c r="AG35" s="68" t="s">
        <v>70</v>
      </c>
      <c r="AH35" s="68" t="s">
        <v>70</v>
      </c>
      <c r="AI35" s="26" t="s">
        <v>90</v>
      </c>
      <c r="AJ35" s="112"/>
      <c r="AK35" s="106"/>
      <c r="AL35" s="106"/>
      <c r="AM35" s="195"/>
      <c r="AN35" s="111"/>
      <c r="AO35" s="181"/>
    </row>
    <row r="36" spans="1:41" ht="21.75" customHeight="1" x14ac:dyDescent="0.4">
      <c r="A36" s="124"/>
      <c r="B36" s="186" t="s">
        <v>53</v>
      </c>
      <c r="C36" s="120" t="s">
        <v>62</v>
      </c>
      <c r="D36" s="25" t="s">
        <v>51</v>
      </c>
      <c r="E36" s="44"/>
      <c r="F36" s="26"/>
      <c r="G36" s="68"/>
      <c r="H36" s="26" t="s">
        <v>73</v>
      </c>
      <c r="I36" s="26" t="s">
        <v>69</v>
      </c>
      <c r="J36" s="26" t="s">
        <v>72</v>
      </c>
      <c r="K36" s="26" t="s">
        <v>75</v>
      </c>
      <c r="L36" s="26" t="s">
        <v>70</v>
      </c>
      <c r="M36" s="26" t="s">
        <v>70</v>
      </c>
      <c r="N36" s="26" t="s">
        <v>72</v>
      </c>
      <c r="O36" s="126" t="s">
        <v>176</v>
      </c>
      <c r="P36" s="26" t="s">
        <v>94</v>
      </c>
      <c r="Q36" s="26" t="s">
        <v>69</v>
      </c>
      <c r="R36" s="26" t="s">
        <v>149</v>
      </c>
      <c r="S36" s="26" t="s">
        <v>70</v>
      </c>
      <c r="T36" s="26" t="s">
        <v>70</v>
      </c>
      <c r="U36" s="26" t="s">
        <v>76</v>
      </c>
      <c r="V36" s="26" t="s">
        <v>121</v>
      </c>
      <c r="W36" s="26" t="s">
        <v>75</v>
      </c>
      <c r="X36" s="26" t="s">
        <v>162</v>
      </c>
      <c r="Y36" s="26" t="s">
        <v>72</v>
      </c>
      <c r="Z36" s="26" t="s">
        <v>70</v>
      </c>
      <c r="AA36" s="26" t="s">
        <v>70</v>
      </c>
      <c r="AB36" s="26" t="s">
        <v>72</v>
      </c>
      <c r="AC36" s="26" t="s">
        <v>135</v>
      </c>
      <c r="AD36" s="26" t="s">
        <v>94</v>
      </c>
      <c r="AE36" s="26" t="s">
        <v>398</v>
      </c>
      <c r="AF36" s="26" t="s">
        <v>78</v>
      </c>
      <c r="AG36" s="68" t="s">
        <v>70</v>
      </c>
      <c r="AH36" s="68" t="s">
        <v>70</v>
      </c>
      <c r="AI36" s="26" t="s">
        <v>69</v>
      </c>
      <c r="AJ36" s="112"/>
      <c r="AK36" s="106"/>
      <c r="AL36" s="106"/>
      <c r="AM36" s="195">
        <v>1</v>
      </c>
      <c r="AN36" s="111">
        <f>(H36+I36+J36+K36+N36+P36+Q36+R36+U36+V36+W36+X36+Y36+AB36+AC36+AD36+AE36+AF36+AI36)/19</f>
        <v>0.36783625730994157</v>
      </c>
      <c r="AO36" s="181">
        <f>(H37+I37+J37+K37+N37+P37+Q37+R37+U37+V37++X37+Y37+AB37+AC37+AD37+AE37+AF37+AI37)/18</f>
        <v>0.77905092592592595</v>
      </c>
    </row>
    <row r="37" spans="1:41" ht="21.75" customHeight="1" x14ac:dyDescent="0.4">
      <c r="A37" s="124"/>
      <c r="B37" s="186"/>
      <c r="C37" s="120"/>
      <c r="D37" s="25" t="s">
        <v>52</v>
      </c>
      <c r="E37" s="44"/>
      <c r="F37" s="26"/>
      <c r="G37" s="68"/>
      <c r="H37" s="26" t="s">
        <v>88</v>
      </c>
      <c r="I37" s="26" t="s">
        <v>103</v>
      </c>
      <c r="J37" s="26" t="s">
        <v>88</v>
      </c>
      <c r="K37" s="26" t="s">
        <v>343</v>
      </c>
      <c r="L37" s="26" t="s">
        <v>70</v>
      </c>
      <c r="M37" s="26" t="s">
        <v>70</v>
      </c>
      <c r="N37" s="26" t="s">
        <v>157</v>
      </c>
      <c r="O37" s="126"/>
      <c r="P37" s="26" t="s">
        <v>89</v>
      </c>
      <c r="Q37" s="26" t="s">
        <v>91</v>
      </c>
      <c r="R37" s="26" t="s">
        <v>123</v>
      </c>
      <c r="S37" s="26" t="s">
        <v>70</v>
      </c>
      <c r="T37" s="26" t="s">
        <v>70</v>
      </c>
      <c r="U37" s="26" t="s">
        <v>102</v>
      </c>
      <c r="V37" s="26" t="s">
        <v>123</v>
      </c>
      <c r="W37" s="26" t="s">
        <v>204</v>
      </c>
      <c r="X37" s="26" t="s">
        <v>83</v>
      </c>
      <c r="Y37" s="26" t="s">
        <v>88</v>
      </c>
      <c r="Z37" s="26" t="s">
        <v>70</v>
      </c>
      <c r="AA37" s="26" t="s">
        <v>70</v>
      </c>
      <c r="AB37" s="26" t="s">
        <v>88</v>
      </c>
      <c r="AC37" s="26" t="s">
        <v>102</v>
      </c>
      <c r="AD37" s="26" t="s">
        <v>92</v>
      </c>
      <c r="AE37" s="26" t="s">
        <v>83</v>
      </c>
      <c r="AF37" s="26" t="s">
        <v>157</v>
      </c>
      <c r="AG37" s="68" t="s">
        <v>70</v>
      </c>
      <c r="AH37" s="68" t="s">
        <v>70</v>
      </c>
      <c r="AI37" s="26" t="s">
        <v>91</v>
      </c>
      <c r="AJ37" s="112"/>
      <c r="AK37" s="106"/>
      <c r="AL37" s="106"/>
      <c r="AM37" s="195"/>
      <c r="AN37" s="111"/>
      <c r="AO37" s="181"/>
    </row>
    <row r="38" spans="1:41" ht="21.75" customHeight="1" x14ac:dyDescent="0.4">
      <c r="A38" s="124"/>
      <c r="B38" s="186" t="s">
        <v>56</v>
      </c>
      <c r="C38" s="120" t="s">
        <v>210</v>
      </c>
      <c r="D38" s="25" t="s">
        <v>51</v>
      </c>
      <c r="E38" s="44"/>
      <c r="F38" s="26"/>
      <c r="G38" s="68"/>
      <c r="H38" s="26" t="s">
        <v>137</v>
      </c>
      <c r="I38" s="26" t="s">
        <v>311</v>
      </c>
      <c r="J38" s="26" t="s">
        <v>311</v>
      </c>
      <c r="K38" s="26" t="s">
        <v>77</v>
      </c>
      <c r="L38" s="26" t="s">
        <v>70</v>
      </c>
      <c r="M38" s="26" t="s">
        <v>70</v>
      </c>
      <c r="N38" s="26" t="s">
        <v>137</v>
      </c>
      <c r="O38" s="26" t="s">
        <v>96</v>
      </c>
      <c r="P38" s="26" t="s">
        <v>179</v>
      </c>
      <c r="Q38" s="26" t="s">
        <v>137</v>
      </c>
      <c r="R38" s="26" t="s">
        <v>77</v>
      </c>
      <c r="S38" s="26" t="s">
        <v>70</v>
      </c>
      <c r="T38" s="26" t="s">
        <v>70</v>
      </c>
      <c r="U38" s="26" t="s">
        <v>96</v>
      </c>
      <c r="V38" s="26" t="s">
        <v>77</v>
      </c>
      <c r="W38" s="26" t="s">
        <v>124</v>
      </c>
      <c r="X38" s="26" t="s">
        <v>137</v>
      </c>
      <c r="Y38" s="26" t="s">
        <v>77</v>
      </c>
      <c r="Z38" s="26" t="s">
        <v>70</v>
      </c>
      <c r="AA38" s="26" t="s">
        <v>70</v>
      </c>
      <c r="AB38" s="26" t="s">
        <v>142</v>
      </c>
      <c r="AC38" s="26" t="s">
        <v>142</v>
      </c>
      <c r="AD38" s="126" t="s">
        <v>176</v>
      </c>
      <c r="AE38" s="26" t="s">
        <v>96</v>
      </c>
      <c r="AF38" s="26" t="s">
        <v>142</v>
      </c>
      <c r="AG38" s="68" t="s">
        <v>70</v>
      </c>
      <c r="AH38" s="68" t="s">
        <v>70</v>
      </c>
      <c r="AI38" s="26" t="s">
        <v>99</v>
      </c>
      <c r="AJ38" s="112"/>
      <c r="AK38" s="106"/>
      <c r="AL38" s="194"/>
      <c r="AM38" s="195">
        <v>1</v>
      </c>
      <c r="AN38" s="111">
        <f>(H38+I38+J38+K38+N38+O38+P38+Q38+R38+U38+V38+W38+X38+Y38+AB38+AC38+AE38+AF38+AI38)/19</f>
        <v>0.35307017543859659</v>
      </c>
      <c r="AO38" s="181">
        <f>(H39+I39+J39+K39+N39+O39+P39+Q39+R39+U39+V39+X39+Y39+AB39+AC39+AE39+AF39+AI39)/18</f>
        <v>0.77773919753086418</v>
      </c>
    </row>
    <row r="39" spans="1:41" ht="21.75" customHeight="1" x14ac:dyDescent="0.4">
      <c r="A39" s="124"/>
      <c r="B39" s="186"/>
      <c r="C39" s="120"/>
      <c r="D39" s="25" t="s">
        <v>52</v>
      </c>
      <c r="E39" s="44"/>
      <c r="F39" s="26"/>
      <c r="G39" s="68"/>
      <c r="H39" s="26" t="s">
        <v>401</v>
      </c>
      <c r="I39" s="26" t="s">
        <v>103</v>
      </c>
      <c r="J39" s="26" t="s">
        <v>102</v>
      </c>
      <c r="K39" s="26" t="s">
        <v>186</v>
      </c>
      <c r="L39" s="26" t="s">
        <v>70</v>
      </c>
      <c r="M39" s="26" t="s">
        <v>70</v>
      </c>
      <c r="N39" s="26" t="s">
        <v>91</v>
      </c>
      <c r="O39" s="26" t="s">
        <v>88</v>
      </c>
      <c r="P39" s="26" t="s">
        <v>88</v>
      </c>
      <c r="Q39" s="26" t="s">
        <v>91</v>
      </c>
      <c r="R39" s="26" t="s">
        <v>83</v>
      </c>
      <c r="S39" s="26" t="s">
        <v>70</v>
      </c>
      <c r="T39" s="26" t="s">
        <v>70</v>
      </c>
      <c r="U39" s="26" t="s">
        <v>102</v>
      </c>
      <c r="V39" s="26" t="s">
        <v>85</v>
      </c>
      <c r="W39" s="26" t="s">
        <v>402</v>
      </c>
      <c r="X39" s="26" t="s">
        <v>85</v>
      </c>
      <c r="Y39" s="26" t="s">
        <v>83</v>
      </c>
      <c r="Z39" s="26" t="s">
        <v>70</v>
      </c>
      <c r="AA39" s="26" t="s">
        <v>70</v>
      </c>
      <c r="AB39" s="26" t="s">
        <v>86</v>
      </c>
      <c r="AC39" s="26" t="s">
        <v>150</v>
      </c>
      <c r="AD39" s="126"/>
      <c r="AE39" s="26" t="s">
        <v>83</v>
      </c>
      <c r="AF39" s="26" t="s">
        <v>91</v>
      </c>
      <c r="AG39" s="68" t="s">
        <v>70</v>
      </c>
      <c r="AH39" s="68" t="s">
        <v>70</v>
      </c>
      <c r="AI39" s="26" t="s">
        <v>88</v>
      </c>
      <c r="AJ39" s="112"/>
      <c r="AK39" s="106"/>
      <c r="AL39" s="194"/>
      <c r="AM39" s="195"/>
      <c r="AN39" s="111"/>
      <c r="AO39" s="181"/>
    </row>
    <row r="40" spans="1:41" ht="21.75" customHeight="1" x14ac:dyDescent="0.4">
      <c r="A40" s="124"/>
      <c r="B40" s="186" t="s">
        <v>56</v>
      </c>
      <c r="C40" s="120" t="s">
        <v>227</v>
      </c>
      <c r="D40" s="25" t="s">
        <v>51</v>
      </c>
      <c r="E40" s="44"/>
      <c r="F40" s="26"/>
      <c r="G40" s="68"/>
      <c r="H40" s="26" t="s">
        <v>156</v>
      </c>
      <c r="I40" s="26" t="s">
        <v>71</v>
      </c>
      <c r="J40" s="26" t="s">
        <v>156</v>
      </c>
      <c r="K40" s="26" t="s">
        <v>120</v>
      </c>
      <c r="L40" s="26" t="s">
        <v>70</v>
      </c>
      <c r="M40" s="26" t="s">
        <v>70</v>
      </c>
      <c r="N40" s="26" t="s">
        <v>156</v>
      </c>
      <c r="O40" s="26" t="s">
        <v>121</v>
      </c>
      <c r="P40" s="26" t="s">
        <v>121</v>
      </c>
      <c r="Q40" s="26" t="s">
        <v>161</v>
      </c>
      <c r="R40" s="26" t="s">
        <v>121</v>
      </c>
      <c r="S40" s="26" t="s">
        <v>70</v>
      </c>
      <c r="T40" s="26" t="s">
        <v>70</v>
      </c>
      <c r="U40" s="126" t="s">
        <v>176</v>
      </c>
      <c r="V40" s="26" t="s">
        <v>121</v>
      </c>
      <c r="W40" s="26" t="s">
        <v>121</v>
      </c>
      <c r="X40" s="26" t="s">
        <v>71</v>
      </c>
      <c r="Y40" s="26" t="s">
        <v>120</v>
      </c>
      <c r="Z40" s="26" t="s">
        <v>70</v>
      </c>
      <c r="AA40" s="26" t="s">
        <v>70</v>
      </c>
      <c r="AB40" s="26" t="s">
        <v>156</v>
      </c>
      <c r="AC40" s="26" t="s">
        <v>156</v>
      </c>
      <c r="AD40" s="26" t="s">
        <v>161</v>
      </c>
      <c r="AE40" s="26" t="s">
        <v>120</v>
      </c>
      <c r="AF40" s="26" t="s">
        <v>121</v>
      </c>
      <c r="AG40" s="68" t="s">
        <v>70</v>
      </c>
      <c r="AH40" s="68" t="s">
        <v>70</v>
      </c>
      <c r="AI40" s="26" t="s">
        <v>68</v>
      </c>
      <c r="AJ40" s="112"/>
      <c r="AK40" s="106"/>
      <c r="AL40" s="194"/>
      <c r="AM40" s="195">
        <v>1</v>
      </c>
      <c r="AN40" s="111">
        <f>(H40+I40+J40+K40+N40+O40+P40+Q40+R40+V40+W40+X40+Y40+AB40+AC40+AD40+AE40+AF40+AI40)/19</f>
        <v>0.37017543859649121</v>
      </c>
      <c r="AO40" s="181">
        <f>(H41+I41+J41+K41+N41+O41+P41+Q41+R41+V41+W41+X41+Y41+AB41+AC41+AD41+AE41+AF41+AI41)/19</f>
        <v>0.77463450292397673</v>
      </c>
    </row>
    <row r="41" spans="1:41" ht="21.75" customHeight="1" thickBot="1" x14ac:dyDescent="0.45">
      <c r="A41" s="125"/>
      <c r="B41" s="187"/>
      <c r="C41" s="121"/>
      <c r="D41" s="31" t="s">
        <v>52</v>
      </c>
      <c r="E41" s="45"/>
      <c r="F41" s="32"/>
      <c r="G41" s="69"/>
      <c r="H41" s="32" t="s">
        <v>85</v>
      </c>
      <c r="I41" s="32" t="s">
        <v>88</v>
      </c>
      <c r="J41" s="32" t="s">
        <v>102</v>
      </c>
      <c r="K41" s="32" t="s">
        <v>88</v>
      </c>
      <c r="L41" s="32" t="s">
        <v>70</v>
      </c>
      <c r="M41" s="32" t="s">
        <v>70</v>
      </c>
      <c r="N41" s="32" t="s">
        <v>90</v>
      </c>
      <c r="O41" s="32" t="s">
        <v>102</v>
      </c>
      <c r="P41" s="32" t="s">
        <v>88</v>
      </c>
      <c r="Q41" s="32" t="s">
        <v>85</v>
      </c>
      <c r="R41" s="32" t="s">
        <v>155</v>
      </c>
      <c r="S41" s="32" t="s">
        <v>70</v>
      </c>
      <c r="T41" s="32" t="s">
        <v>70</v>
      </c>
      <c r="U41" s="182"/>
      <c r="V41" s="32" t="s">
        <v>88</v>
      </c>
      <c r="W41" s="32" t="s">
        <v>252</v>
      </c>
      <c r="X41" s="32" t="s">
        <v>85</v>
      </c>
      <c r="Y41" s="32" t="s">
        <v>123</v>
      </c>
      <c r="Z41" s="32" t="s">
        <v>70</v>
      </c>
      <c r="AA41" s="32" t="s">
        <v>70</v>
      </c>
      <c r="AB41" s="32" t="s">
        <v>101</v>
      </c>
      <c r="AC41" s="32" t="s">
        <v>91</v>
      </c>
      <c r="AD41" s="32" t="s">
        <v>123</v>
      </c>
      <c r="AE41" s="32" t="s">
        <v>91</v>
      </c>
      <c r="AF41" s="32" t="s">
        <v>88</v>
      </c>
      <c r="AG41" s="69" t="s">
        <v>70</v>
      </c>
      <c r="AH41" s="69" t="s">
        <v>70</v>
      </c>
      <c r="AI41" s="32" t="s">
        <v>123</v>
      </c>
      <c r="AJ41" s="122"/>
      <c r="AK41" s="167"/>
      <c r="AL41" s="196"/>
      <c r="AM41" s="197"/>
      <c r="AN41" s="188"/>
      <c r="AO41" s="189"/>
    </row>
    <row r="42" spans="1:41" x14ac:dyDescent="0.4">
      <c r="AM42" s="36">
        <f>SUM(AM4:AM41)</f>
        <v>17.5</v>
      </c>
    </row>
  </sheetData>
  <mergeCells count="185">
    <mergeCell ref="A1:C1"/>
    <mergeCell ref="D1:I1"/>
    <mergeCell ref="A2:A3"/>
    <mergeCell ref="B2:B3"/>
    <mergeCell ref="C2:C3"/>
    <mergeCell ref="AJ2:AJ3"/>
    <mergeCell ref="Y4:Y5"/>
    <mergeCell ref="H24:H25"/>
    <mergeCell ref="AC28:AC29"/>
    <mergeCell ref="AJ8:AJ9"/>
    <mergeCell ref="W26:W27"/>
    <mergeCell ref="A18:A29"/>
    <mergeCell ref="B28:B29"/>
    <mergeCell ref="C28:C29"/>
    <mergeCell ref="AJ28:AJ29"/>
    <mergeCell ref="AK2:AK3"/>
    <mergeCell ref="AL2:AL3"/>
    <mergeCell ref="AM2:AM3"/>
    <mergeCell ref="AN2:AN3"/>
    <mergeCell ref="AO2:AO3"/>
    <mergeCell ref="A4:A13"/>
    <mergeCell ref="B4:B5"/>
    <mergeCell ref="C4:C5"/>
    <mergeCell ref="AJ4:AJ5"/>
    <mergeCell ref="AK4:AK5"/>
    <mergeCell ref="AL4:AL5"/>
    <mergeCell ref="AM4:AM5"/>
    <mergeCell ref="AN4:AN5"/>
    <mergeCell ref="AO4:AO5"/>
    <mergeCell ref="B6:B7"/>
    <mergeCell ref="C6:C7"/>
    <mergeCell ref="AJ6:AJ7"/>
    <mergeCell ref="AK6:AK7"/>
    <mergeCell ref="AL6:AL7"/>
    <mergeCell ref="AM6:AM7"/>
    <mergeCell ref="AN6:AN7"/>
    <mergeCell ref="AO6:AO7"/>
    <mergeCell ref="B8:B9"/>
    <mergeCell ref="C8:C9"/>
    <mergeCell ref="AK8:AK9"/>
    <mergeCell ref="AL8:AL9"/>
    <mergeCell ref="AM8:AM9"/>
    <mergeCell ref="AN8:AN9"/>
    <mergeCell ref="AO8:AO9"/>
    <mergeCell ref="B10:B11"/>
    <mergeCell ref="C10:C11"/>
    <mergeCell ref="AJ10:AJ11"/>
    <mergeCell ref="AK10:AK11"/>
    <mergeCell ref="AL10:AL11"/>
    <mergeCell ref="AM10:AM11"/>
    <mergeCell ref="AN10:AN11"/>
    <mergeCell ref="AO10:AO11"/>
    <mergeCell ref="Q8:Q9"/>
    <mergeCell ref="R10:R11"/>
    <mergeCell ref="AO12:AO13"/>
    <mergeCell ref="B14:B15"/>
    <mergeCell ref="C14:C15"/>
    <mergeCell ref="AJ14:AJ15"/>
    <mergeCell ref="AK14:AK15"/>
    <mergeCell ref="AL14:AL15"/>
    <mergeCell ref="AM14:AM15"/>
    <mergeCell ref="AN14:AN15"/>
    <mergeCell ref="AO14:AO15"/>
    <mergeCell ref="B12:B13"/>
    <mergeCell ref="C12:C13"/>
    <mergeCell ref="AJ12:AJ13"/>
    <mergeCell ref="AK12:AK13"/>
    <mergeCell ref="AL12:AL13"/>
    <mergeCell ref="AM12:AM13"/>
    <mergeCell ref="AN12:AN13"/>
    <mergeCell ref="AM22:AM23"/>
    <mergeCell ref="U22:U23"/>
    <mergeCell ref="AL18:AL19"/>
    <mergeCell ref="AM18:AM19"/>
    <mergeCell ref="AN18:AN19"/>
    <mergeCell ref="AO18:AO19"/>
    <mergeCell ref="B20:B21"/>
    <mergeCell ref="C20:C21"/>
    <mergeCell ref="AJ20:AJ21"/>
    <mergeCell ref="AK20:AK21"/>
    <mergeCell ref="AL20:AL21"/>
    <mergeCell ref="B18:B19"/>
    <mergeCell ref="C18:C19"/>
    <mergeCell ref="AJ18:AJ19"/>
    <mergeCell ref="AK18:AK19"/>
    <mergeCell ref="AM20:AM21"/>
    <mergeCell ref="AN20:AN21"/>
    <mergeCell ref="AO20:AO21"/>
    <mergeCell ref="AM34:AM35"/>
    <mergeCell ref="AN34:AN35"/>
    <mergeCell ref="AO34:AO35"/>
    <mergeCell ref="B36:B37"/>
    <mergeCell ref="AN22:AN23"/>
    <mergeCell ref="AO22:AO23"/>
    <mergeCell ref="B24:B25"/>
    <mergeCell ref="C24:C25"/>
    <mergeCell ref="AJ24:AJ25"/>
    <mergeCell ref="AK24:AK25"/>
    <mergeCell ref="AL24:AL25"/>
    <mergeCell ref="AM24:AM25"/>
    <mergeCell ref="B22:B23"/>
    <mergeCell ref="C22:C23"/>
    <mergeCell ref="AJ22:AJ23"/>
    <mergeCell ref="AK22:AK23"/>
    <mergeCell ref="AN24:AN25"/>
    <mergeCell ref="AO24:AO25"/>
    <mergeCell ref="B26:B27"/>
    <mergeCell ref="C26:C27"/>
    <mergeCell ref="AJ26:AJ27"/>
    <mergeCell ref="AK26:AK27"/>
    <mergeCell ref="AL26:AL27"/>
    <mergeCell ref="AL22:AL23"/>
    <mergeCell ref="AM26:AM27"/>
    <mergeCell ref="AN26:AN27"/>
    <mergeCell ref="AO26:AO27"/>
    <mergeCell ref="B34:B35"/>
    <mergeCell ref="C34:C35"/>
    <mergeCell ref="AJ34:AJ35"/>
    <mergeCell ref="AK34:AK35"/>
    <mergeCell ref="AL34:AL35"/>
    <mergeCell ref="A30:A41"/>
    <mergeCell ref="B30:B31"/>
    <mergeCell ref="C30:C31"/>
    <mergeCell ref="AJ30:AJ31"/>
    <mergeCell ref="AK30:AK31"/>
    <mergeCell ref="AO36:AO37"/>
    <mergeCell ref="B38:B39"/>
    <mergeCell ref="C38:C39"/>
    <mergeCell ref="AD38:AD39"/>
    <mergeCell ref="AJ38:AJ39"/>
    <mergeCell ref="AK38:AK39"/>
    <mergeCell ref="AL38:AL39"/>
    <mergeCell ref="AM38:AM39"/>
    <mergeCell ref="AN38:AN39"/>
    <mergeCell ref="AO38:AO39"/>
    <mergeCell ref="C36:C37"/>
    <mergeCell ref="AJ36:AJ37"/>
    <mergeCell ref="AK36:AK37"/>
    <mergeCell ref="AL36:AL37"/>
    <mergeCell ref="AM36:AM37"/>
    <mergeCell ref="AN36:AN37"/>
    <mergeCell ref="B40:B41"/>
    <mergeCell ref="C40:C41"/>
    <mergeCell ref="AJ40:AJ41"/>
    <mergeCell ref="AK40:AK41"/>
    <mergeCell ref="AL40:AL41"/>
    <mergeCell ref="AM40:AM41"/>
    <mergeCell ref="AN40:AN41"/>
    <mergeCell ref="O36:O37"/>
    <mergeCell ref="AO40:AO41"/>
    <mergeCell ref="U40:U41"/>
    <mergeCell ref="AC32:AC33"/>
    <mergeCell ref="AD6:AD7"/>
    <mergeCell ref="B16:B17"/>
    <mergeCell ref="C16:C17"/>
    <mergeCell ref="H16:R17"/>
    <mergeCell ref="Q12:Q13"/>
    <mergeCell ref="R12:R13"/>
    <mergeCell ref="O14:O15"/>
    <mergeCell ref="B32:B33"/>
    <mergeCell ref="C32:C33"/>
    <mergeCell ref="AK16:AK17"/>
    <mergeCell ref="AL16:AL17"/>
    <mergeCell ref="AM16:AM17"/>
    <mergeCell ref="AN16:AN17"/>
    <mergeCell ref="AO16:AO17"/>
    <mergeCell ref="AF10:AF11"/>
    <mergeCell ref="P30:R31"/>
    <mergeCell ref="AJ16:AJ17"/>
    <mergeCell ref="N32:N33"/>
    <mergeCell ref="AL32:AL33"/>
    <mergeCell ref="AM32:AM33"/>
    <mergeCell ref="AN32:AN33"/>
    <mergeCell ref="AO32:AO33"/>
    <mergeCell ref="AL30:AL31"/>
    <mergeCell ref="AM30:AM31"/>
    <mergeCell ref="AN30:AN31"/>
    <mergeCell ref="AO30:AO31"/>
    <mergeCell ref="AJ32:AJ33"/>
    <mergeCell ref="AK32:AK33"/>
    <mergeCell ref="AK28:AK29"/>
    <mergeCell ref="AL28:AL29"/>
    <mergeCell ref="AM28:AM29"/>
    <mergeCell ref="AN28:AN29"/>
    <mergeCell ref="AO28:AO29"/>
  </mergeCells>
  <phoneticPr fontId="5" type="noConversion"/>
  <conditionalFormatting sqref="E31:E37">
    <cfRule type="expression" dxfId="809" priority="148">
      <formula>OR(WEEKDAY(E$3)=7,WEEKDAY(E$3)=1)</formula>
    </cfRule>
  </conditionalFormatting>
  <conditionalFormatting sqref="E20:F29">
    <cfRule type="expression" dxfId="808" priority="136">
      <formula>OR(WEEKDAY(E$3)=7,WEEKDAY(E$3)=1)</formula>
    </cfRule>
  </conditionalFormatting>
  <conditionalFormatting sqref="E32:F33 E38:F41">
    <cfRule type="expression" dxfId="807" priority="182">
      <formula>OR(WEEKDAY(E$3)=7,WEEKDAY(E$3)=1)</formula>
    </cfRule>
  </conditionalFormatting>
  <conditionalFormatting sqref="E4:G17">
    <cfRule type="expression" dxfId="806" priority="33">
      <formula>OR(WEEKDAY(E$3)=7,WEEKDAY(E$3)=1)</formula>
    </cfRule>
  </conditionalFormatting>
  <conditionalFormatting sqref="E30:J30">
    <cfRule type="expression" dxfId="805" priority="185">
      <formula>OR(WEEKDAY(E$3)=7,WEEKDAY(E$3)=1)</formula>
    </cfRule>
  </conditionalFormatting>
  <conditionalFormatting sqref="E18:K19 X18:Y19 AB18:AI19">
    <cfRule type="expression" dxfId="804" priority="173">
      <formula>OR(WEEKDAY(E$3)=7,WEEKDAY(E$3)=1)</formula>
    </cfRule>
  </conditionalFormatting>
  <conditionalFormatting sqref="E2:AI3 K30:K31 N30:O31 U30:Y31 AB30:AI31">
    <cfRule type="expression" dxfId="803" priority="177">
      <formula>OR(WEEKDAY(E$3)=7,WEEKDAY(E$3)=1)</formula>
    </cfRule>
  </conditionalFormatting>
  <conditionalFormatting sqref="E3:AI3">
    <cfRule type="expression" dxfId="802" priority="186">
      <formula>WEEKDAY(E3)=1</formula>
    </cfRule>
    <cfRule type="expression" dxfId="801" priority="187">
      <formula>WEEKDAY(E3)=7</formula>
    </cfRule>
  </conditionalFormatting>
  <conditionalFormatting sqref="F31:F32">
    <cfRule type="expression" dxfId="800" priority="181">
      <formula>OR(WEEKDAY(F$3)=7,WEEKDAY(F$3)=1)</formula>
    </cfRule>
  </conditionalFormatting>
  <conditionalFormatting sqref="F34:F37">
    <cfRule type="expression" dxfId="799" priority="147">
      <formula>OR(WEEKDAY(F$3)=7,WEEKDAY(F$3)=1)</formula>
    </cfRule>
  </conditionalFormatting>
  <conditionalFormatting sqref="G31:J31">
    <cfRule type="expression" dxfId="798" priority="172">
      <formula>OR(WEEKDAY(G$3)=7,WEEKDAY(G$3)=1)</formula>
    </cfRule>
  </conditionalFormatting>
  <conditionalFormatting sqref="G20:K21">
    <cfRule type="expression" dxfId="797" priority="25">
      <formula>OR(WEEKDAY(G$3)=7,WEEKDAY(G$3)=1)</formula>
    </cfRule>
  </conditionalFormatting>
  <conditionalFormatting sqref="H24">
    <cfRule type="expression" dxfId="796" priority="6">
      <formula>OR(WEEKDAY(H$3)=7,WEEKDAY(H$3)=1)</formula>
    </cfRule>
  </conditionalFormatting>
  <conditionalFormatting sqref="H4:K4 N4:R5 I5:K5">
    <cfRule type="expression" dxfId="795" priority="170">
      <formula>OR(WEEKDAY(H$3)=7,WEEKDAY(H$3)=1)</formula>
    </cfRule>
  </conditionalFormatting>
  <conditionalFormatting sqref="H6:K7">
    <cfRule type="expression" dxfId="794" priority="156">
      <formula>OR(WEEKDAY(H$3)=7,WEEKDAY(H$3)=1)</formula>
    </cfRule>
  </conditionalFormatting>
  <conditionalFormatting sqref="J23">
    <cfRule type="expression" dxfId="793" priority="132">
      <formula>OR(WEEKDAY(J$3)=7,WEEKDAY(J$3)=1)</formula>
    </cfRule>
  </conditionalFormatting>
  <conditionalFormatting sqref="K28">
    <cfRule type="expression" dxfId="792" priority="121">
      <formula>OR(WEEKDAY(K$3)=7,WEEKDAY(K$3)=1)</formula>
    </cfRule>
  </conditionalFormatting>
  <conditionalFormatting sqref="L31:L37">
    <cfRule type="expression" dxfId="791" priority="60">
      <formula>OR(WEEKDAY(L$3)=7,WEEKDAY(L$3)=1)</formula>
    </cfRule>
  </conditionalFormatting>
  <conditionalFormatting sqref="L4:M15">
    <cfRule type="expression" dxfId="790" priority="86">
      <formula>OR(WEEKDAY(L$3)=7,WEEKDAY(L$3)=1)</formula>
    </cfRule>
  </conditionalFormatting>
  <conditionalFormatting sqref="L18:M30">
    <cfRule type="expression" dxfId="789" priority="65">
      <formula>OR(WEEKDAY(L$3)=7,WEEKDAY(L$3)=1)</formula>
    </cfRule>
  </conditionalFormatting>
  <conditionalFormatting sqref="L32:M33 L38:M41">
    <cfRule type="expression" dxfId="788" priority="64">
      <formula>OR(WEEKDAY(L$3)=7,WEEKDAY(L$3)=1)</formula>
    </cfRule>
  </conditionalFormatting>
  <conditionalFormatting sqref="M31:M32">
    <cfRule type="expression" dxfId="787" priority="63">
      <formula>OR(WEEKDAY(M$3)=7,WEEKDAY(M$3)=1)</formula>
    </cfRule>
  </conditionalFormatting>
  <conditionalFormatting sqref="M34:M37">
    <cfRule type="expression" dxfId="786" priority="59">
      <formula>OR(WEEKDAY(M$3)=7,WEEKDAY(M$3)=1)</formula>
    </cfRule>
  </conditionalFormatting>
  <conditionalFormatting sqref="N32">
    <cfRule type="expression" dxfId="785" priority="26">
      <formula>OR(WEEKDAY(N$3)=7,WEEKDAY(N$3)=1)</formula>
    </cfRule>
  </conditionalFormatting>
  <conditionalFormatting sqref="N7:O7">
    <cfRule type="expression" dxfId="784" priority="9">
      <formula>OR(WEEKDAY(N$3)=7,WEEKDAY(N$3)=1)</formula>
    </cfRule>
  </conditionalFormatting>
  <conditionalFormatting sqref="N6:P6">
    <cfRule type="expression" dxfId="783" priority="134">
      <formula>OR(WEEKDAY(N$3)=7,WEEKDAY(N$3)=1)</formula>
    </cfRule>
  </conditionalFormatting>
  <conditionalFormatting sqref="N18:R21">
    <cfRule type="expression" dxfId="782" priority="137">
      <formula>OR(WEEKDAY(N$3)=7,WEEKDAY(N$3)=1)</formula>
    </cfRule>
  </conditionalFormatting>
  <conditionalFormatting sqref="O14">
    <cfRule type="expression" dxfId="781" priority="27">
      <formula>OR(WEEKDAY(O$3)=7,WEEKDAY(O$3)=1)</formula>
    </cfRule>
  </conditionalFormatting>
  <conditionalFormatting sqref="O36">
    <cfRule type="expression" dxfId="780" priority="3">
      <formula>OR(WEEKDAY(O$3)=7,WEEKDAY(O$3)=1)</formula>
    </cfRule>
  </conditionalFormatting>
  <conditionalFormatting sqref="P30">
    <cfRule type="expression" dxfId="779" priority="14">
      <formula>OR(WEEKDAY(P$3)=7,WEEKDAY(P$3)=1)</formula>
    </cfRule>
  </conditionalFormatting>
  <conditionalFormatting sqref="P32">
    <cfRule type="expression" dxfId="778" priority="130">
      <formula>OR(WEEKDAY(P$3)=7,WEEKDAY(P$3)=1)</formula>
    </cfRule>
  </conditionalFormatting>
  <conditionalFormatting sqref="Q8">
    <cfRule type="expression" dxfId="777" priority="24">
      <formula>OR(WEEKDAY(Q$3)=7,WEEKDAY(Q$3)=1)</formula>
    </cfRule>
  </conditionalFormatting>
  <conditionalFormatting sqref="Q38">
    <cfRule type="expression" dxfId="776" priority="125">
      <formula>OR(WEEKDAY(Q$3)=7,WEEKDAY(Q$3)=1)</formula>
    </cfRule>
  </conditionalFormatting>
  <conditionalFormatting sqref="Q6:R7">
    <cfRule type="expression" dxfId="775" priority="161">
      <formula>OR(WEEKDAY(Q$3)=7,WEEKDAY(Q$3)=1)</formula>
    </cfRule>
  </conditionalFormatting>
  <conditionalFormatting sqref="Q12:R12">
    <cfRule type="expression" dxfId="774" priority="29">
      <formula>OR(WEEKDAY(Q$3)=7,WEEKDAY(Q$3)=1)</formula>
    </cfRule>
  </conditionalFormatting>
  <conditionalFormatting sqref="R10">
    <cfRule type="expression" dxfId="773" priority="23">
      <formula>OR(WEEKDAY(R$3)=7,WEEKDAY(R$3)=1)</formula>
    </cfRule>
  </conditionalFormatting>
  <conditionalFormatting sqref="R24:R25">
    <cfRule type="expression" dxfId="772" priority="21">
      <formula>OR(WEEKDAY(R$3)=7,WEEKDAY(R$3)=1)</formula>
    </cfRule>
  </conditionalFormatting>
  <conditionalFormatting sqref="R27">
    <cfRule type="expression" dxfId="771" priority="123">
      <formula>OR(WEEKDAY(R$3)=7,WEEKDAY(R$3)=1)</formula>
    </cfRule>
  </conditionalFormatting>
  <conditionalFormatting sqref="R41">
    <cfRule type="expression" dxfId="770" priority="122">
      <formula>OR(WEEKDAY(R$3)=7,WEEKDAY(R$3)=1)</formula>
    </cfRule>
  </conditionalFormatting>
  <conditionalFormatting sqref="S31:S37">
    <cfRule type="expression" dxfId="769" priority="53">
      <formula>OR(WEEKDAY(S$3)=7,WEEKDAY(S$3)=1)</formula>
    </cfRule>
  </conditionalFormatting>
  <conditionalFormatting sqref="S4:T30">
    <cfRule type="expression" dxfId="768" priority="58">
      <formula>OR(WEEKDAY(S$3)=7,WEEKDAY(S$3)=1)</formula>
    </cfRule>
  </conditionalFormatting>
  <conditionalFormatting sqref="S32:T33 S38:T41">
    <cfRule type="expression" dxfId="767" priority="57">
      <formula>OR(WEEKDAY(S$3)=7,WEEKDAY(S$3)=1)</formula>
    </cfRule>
  </conditionalFormatting>
  <conditionalFormatting sqref="T31:T32">
    <cfRule type="expression" dxfId="766" priority="56">
      <formula>OR(WEEKDAY(T$3)=7,WEEKDAY(T$3)=1)</formula>
    </cfRule>
  </conditionalFormatting>
  <conditionalFormatting sqref="T34:T37">
    <cfRule type="expression" dxfId="765" priority="52">
      <formula>OR(WEEKDAY(T$3)=7,WEEKDAY(T$3)=1)</formula>
    </cfRule>
  </conditionalFormatting>
  <conditionalFormatting sqref="U9">
    <cfRule type="expression" dxfId="764" priority="129">
      <formula>OR(WEEKDAY(U$3)=7,WEEKDAY(U$3)=1)</formula>
    </cfRule>
  </conditionalFormatting>
  <conditionalFormatting sqref="U18:U19">
    <cfRule type="expression" dxfId="763" priority="8">
      <formula>OR(WEEKDAY(U$3)=7,WEEKDAY(U$3)=1)</formula>
    </cfRule>
  </conditionalFormatting>
  <conditionalFormatting sqref="U21:U22">
    <cfRule type="expression" dxfId="762" priority="22">
      <formula>OR(WEEKDAY(U$3)=7,WEEKDAY(U$3)=1)</formula>
    </cfRule>
  </conditionalFormatting>
  <conditionalFormatting sqref="U32">
    <cfRule type="expression" dxfId="761" priority="44">
      <formula>OR(WEEKDAY(U$3)=7,WEEKDAY(U$3)=1)</formula>
    </cfRule>
  </conditionalFormatting>
  <conditionalFormatting sqref="U34">
    <cfRule type="expression" dxfId="760" priority="11">
      <formula>OR(WEEKDAY(U$3)=7,WEEKDAY(U$3)=1)</formula>
    </cfRule>
  </conditionalFormatting>
  <conditionalFormatting sqref="U40">
    <cfRule type="expression" dxfId="759" priority="28">
      <formula>OR(WEEKDAY(U$3)=7,WEEKDAY(U$3)=1)</formula>
    </cfRule>
  </conditionalFormatting>
  <conditionalFormatting sqref="U20:V20">
    <cfRule type="expression" dxfId="758" priority="184">
      <formula>OR(WEEKDAY(U$3)=7,WEEKDAY(U$3)=1)</formula>
    </cfRule>
  </conditionalFormatting>
  <conditionalFormatting sqref="U4:W7">
    <cfRule type="expression" dxfId="757" priority="138">
      <formula>OR(WEEKDAY(U$3)=7,WEEKDAY(U$3)=1)</formula>
    </cfRule>
  </conditionalFormatting>
  <conditionalFormatting sqref="V20:Y21">
    <cfRule type="expression" dxfId="756" priority="174">
      <formula>OR(WEEKDAY(V$3)=7,WEEKDAY(V$3)=1)</formula>
    </cfRule>
  </conditionalFormatting>
  <conditionalFormatting sqref="W26">
    <cfRule type="expression" dxfId="755" priority="19">
      <formula>OR(WEEKDAY(W$3)=7,WEEKDAY(W$3)=1)</formula>
    </cfRule>
  </conditionalFormatting>
  <conditionalFormatting sqref="W34">
    <cfRule type="expression" dxfId="754" priority="20">
      <formula>OR(WEEKDAY(W$3)=7,WEEKDAY(W$3)=1)</formula>
    </cfRule>
  </conditionalFormatting>
  <conditionalFormatting sqref="X4:X5">
    <cfRule type="expression" dxfId="753" priority="1">
      <formula>OR(WEEKDAY(X$3)=7,WEEKDAY(X$3)=1)</formula>
    </cfRule>
  </conditionalFormatting>
  <conditionalFormatting sqref="X6:Y7">
    <cfRule type="expression" dxfId="752" priority="31">
      <formula>OR(WEEKDAY(X$3)=7,WEEKDAY(X$3)=1)</formula>
    </cfRule>
  </conditionalFormatting>
  <conditionalFormatting sqref="Y4">
    <cfRule type="expression" dxfId="751" priority="7">
      <formula>OR(WEEKDAY(Y$3)=7,WEEKDAY(Y$3)=1)</formula>
    </cfRule>
  </conditionalFormatting>
  <conditionalFormatting sqref="Y22">
    <cfRule type="expression" dxfId="750" priority="131">
      <formula>OR(WEEKDAY(Y$3)=7,WEEKDAY(Y$3)=1)</formula>
    </cfRule>
  </conditionalFormatting>
  <conditionalFormatting sqref="Z31:Z37">
    <cfRule type="expression" dxfId="749" priority="46">
      <formula>OR(WEEKDAY(Z$3)=7,WEEKDAY(Z$3)=1)</formula>
    </cfRule>
  </conditionalFormatting>
  <conditionalFormatting sqref="Z4:AA30">
    <cfRule type="expression" dxfId="748" priority="51">
      <formula>OR(WEEKDAY(Z$3)=7,WEEKDAY(Z$3)=1)</formula>
    </cfRule>
  </conditionalFormatting>
  <conditionalFormatting sqref="Z32:AA33 Z38:AA41">
    <cfRule type="expression" dxfId="747" priority="50">
      <formula>OR(WEEKDAY(Z$3)=7,WEEKDAY(Z$3)=1)</formula>
    </cfRule>
  </conditionalFormatting>
  <conditionalFormatting sqref="AA31:AA32">
    <cfRule type="expression" dxfId="746" priority="49">
      <formula>OR(WEEKDAY(AA$3)=7,WEEKDAY(AA$3)=1)</formula>
    </cfRule>
  </conditionalFormatting>
  <conditionalFormatting sqref="AA34:AA37">
    <cfRule type="expression" dxfId="745" priority="45">
      <formula>OR(WEEKDAY(AA$3)=7,WEEKDAY(AA$3)=1)</formula>
    </cfRule>
  </conditionalFormatting>
  <conditionalFormatting sqref="AB34">
    <cfRule type="expression" dxfId="744" priority="126">
      <formula>OR(WEEKDAY(AB$3)=7,WEEKDAY(AB$3)=1)</formula>
    </cfRule>
  </conditionalFormatting>
  <conditionalFormatting sqref="AB4:AC7">
    <cfRule type="expression" dxfId="743" priority="159">
      <formula>OR(WEEKDAY(AB$3)=7,WEEKDAY(AB$3)=1)</formula>
    </cfRule>
  </conditionalFormatting>
  <conditionalFormatting sqref="AB20:AD21">
    <cfRule type="expression" dxfId="742" priority="157">
      <formula>OR(WEEKDAY(AB$3)=7,WEEKDAY(AB$3)=1)</formula>
    </cfRule>
  </conditionalFormatting>
  <conditionalFormatting sqref="AC24">
    <cfRule type="expression" dxfId="741" priority="43">
      <formula>OR(WEEKDAY(AC$3)=7,WEEKDAY(AC$3)=1)</formula>
    </cfRule>
  </conditionalFormatting>
  <conditionalFormatting sqref="AC28">
    <cfRule type="expression" dxfId="740" priority="4">
      <formula>OR(WEEKDAY(AC$3)=7,WEEKDAY(AC$3)=1)</formula>
    </cfRule>
  </conditionalFormatting>
  <conditionalFormatting sqref="AC32">
    <cfRule type="expression" dxfId="739" priority="16">
      <formula>OR(WEEKDAY(AC$3)=7,WEEKDAY(AC$3)=1)</formula>
    </cfRule>
  </conditionalFormatting>
  <conditionalFormatting sqref="AD4:AD6">
    <cfRule type="expression" dxfId="738" priority="32">
      <formula>OR(WEEKDAY(AD$3)=7,WEEKDAY(AD$3)=1)</formula>
    </cfRule>
  </conditionalFormatting>
  <conditionalFormatting sqref="AD35">
    <cfRule type="expression" dxfId="737" priority="17">
      <formula>OR(WEEKDAY(AD$3)=7,WEEKDAY(AD$3)=1)</formula>
    </cfRule>
  </conditionalFormatting>
  <conditionalFormatting sqref="AD38">
    <cfRule type="expression" dxfId="736" priority="18">
      <formula>OR(WEEKDAY(AD$3)=7,WEEKDAY(AD$3)=1)</formula>
    </cfRule>
  </conditionalFormatting>
  <conditionalFormatting sqref="AE21:AG21">
    <cfRule type="expression" dxfId="735" priority="5">
      <formula>OR(WEEKDAY(AE$3)=7,WEEKDAY(AE$3)=1)</formula>
    </cfRule>
  </conditionalFormatting>
  <conditionalFormatting sqref="AE4:AI7">
    <cfRule type="expression" dxfId="734" priority="2">
      <formula>OR(WEEKDAY(AE$3)=7,WEEKDAY(AE$3)=1)</formula>
    </cfRule>
  </conditionalFormatting>
  <conditionalFormatting sqref="AE20:AI20">
    <cfRule type="expression" dxfId="733" priority="133">
      <formula>OR(WEEKDAY(AE$3)=7,WEEKDAY(AE$3)=1)</formula>
    </cfRule>
  </conditionalFormatting>
  <conditionalFormatting sqref="AF10">
    <cfRule type="expression" dxfId="732" priority="15">
      <formula>OR(WEEKDAY(AF$3)=7,WEEKDAY(AF$3)=1)</formula>
    </cfRule>
  </conditionalFormatting>
  <pageMargins left="0.25" right="0.25" top="0.75" bottom="0.75" header="0.3" footer="0.3"/>
  <pageSetup paperSize="9" scale="49" fitToHeight="0" orientation="landscape" cellComments="asDisplayed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7058-6119-4B6F-9233-A2BB79A819D2}">
  <sheetPr>
    <pageSetUpPr fitToPage="1"/>
  </sheetPr>
  <dimension ref="A1:BO48"/>
  <sheetViews>
    <sheetView topLeftCell="B1" zoomScale="85" zoomScaleNormal="85" workbookViewId="0">
      <pane xSplit="2" ySplit="2" topLeftCell="D3" activePane="bottomRight" state="frozen"/>
      <selection activeCell="B1" sqref="B1"/>
      <selection pane="topRight" activeCell="D1" sqref="D1"/>
      <selection pane="bottomLeft" activeCell="B3" sqref="B3"/>
      <selection pane="bottomRight" activeCell="R10" sqref="R10:R11"/>
    </sheetView>
  </sheetViews>
  <sheetFormatPr defaultColWidth="9" defaultRowHeight="15.6" x14ac:dyDescent="0.4"/>
  <cols>
    <col min="1" max="1" width="17.19921875" style="27" customWidth="1"/>
    <col min="2" max="2" width="5.8984375" style="27" customWidth="1"/>
    <col min="3" max="3" width="13" style="35" customWidth="1"/>
    <col min="4" max="4" width="7.3984375" style="35" customWidth="1"/>
    <col min="5" max="34" width="5.3984375" style="27" customWidth="1"/>
    <col min="35" max="37" width="9" style="27" customWidth="1"/>
    <col min="38" max="38" width="9.59765625" style="36" customWidth="1"/>
    <col min="39" max="39" width="9" style="27"/>
    <col min="40" max="40" width="10" style="27" bestFit="1" customWidth="1"/>
    <col min="41" max="16384" width="9" style="27"/>
  </cols>
  <sheetData>
    <row r="1" spans="1:67" s="15" customFormat="1" ht="36.75" customHeight="1" thickBot="1" x14ac:dyDescent="0.45">
      <c r="A1" s="130">
        <v>45078</v>
      </c>
      <c r="B1" s="130"/>
      <c r="C1" s="131"/>
      <c r="D1" s="132">
        <v>45748</v>
      </c>
      <c r="E1" s="133"/>
      <c r="F1" s="133"/>
      <c r="G1" s="133"/>
      <c r="H1" s="133"/>
      <c r="I1" s="13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L1" s="16"/>
    </row>
    <row r="2" spans="1:67" s="23" customFormat="1" ht="21.75" customHeight="1" x14ac:dyDescent="0.4">
      <c r="A2" s="192" t="s">
        <v>37</v>
      </c>
      <c r="B2" s="135" t="s">
        <v>38</v>
      </c>
      <c r="C2" s="139" t="s">
        <v>39</v>
      </c>
      <c r="D2" s="64" t="s">
        <v>40</v>
      </c>
      <c r="E2" s="18">
        <f>D1</f>
        <v>45748</v>
      </c>
      <c r="F2" s="19">
        <f>E2+1</f>
        <v>45749</v>
      </c>
      <c r="G2" s="18">
        <f t="shared" ref="G2:AE2" si="0">F2+1</f>
        <v>45750</v>
      </c>
      <c r="H2" s="19">
        <f t="shared" si="0"/>
        <v>45751</v>
      </c>
      <c r="I2" s="19">
        <f t="shared" si="0"/>
        <v>45752</v>
      </c>
      <c r="J2" s="19">
        <f t="shared" si="0"/>
        <v>45753</v>
      </c>
      <c r="K2" s="19">
        <f t="shared" si="0"/>
        <v>45754</v>
      </c>
      <c r="L2" s="19">
        <f t="shared" si="0"/>
        <v>45755</v>
      </c>
      <c r="M2" s="19">
        <f t="shared" si="0"/>
        <v>45756</v>
      </c>
      <c r="N2" s="19">
        <f t="shared" si="0"/>
        <v>45757</v>
      </c>
      <c r="O2" s="19">
        <f t="shared" si="0"/>
        <v>45758</v>
      </c>
      <c r="P2" s="19">
        <f t="shared" si="0"/>
        <v>45759</v>
      </c>
      <c r="Q2" s="19">
        <f t="shared" si="0"/>
        <v>45760</v>
      </c>
      <c r="R2" s="19">
        <f t="shared" si="0"/>
        <v>45761</v>
      </c>
      <c r="S2" s="18">
        <f t="shared" si="0"/>
        <v>45762</v>
      </c>
      <c r="T2" s="19">
        <f t="shared" si="0"/>
        <v>45763</v>
      </c>
      <c r="U2" s="19">
        <f t="shared" si="0"/>
        <v>45764</v>
      </c>
      <c r="V2" s="19">
        <f t="shared" si="0"/>
        <v>45765</v>
      </c>
      <c r="W2" s="19">
        <f t="shared" si="0"/>
        <v>45766</v>
      </c>
      <c r="X2" s="19">
        <f t="shared" si="0"/>
        <v>45767</v>
      </c>
      <c r="Y2" s="19">
        <f t="shared" si="0"/>
        <v>45768</v>
      </c>
      <c r="Z2" s="19">
        <f t="shared" si="0"/>
        <v>45769</v>
      </c>
      <c r="AA2" s="20">
        <f t="shared" si="0"/>
        <v>45770</v>
      </c>
      <c r="AB2" s="20">
        <f t="shared" si="0"/>
        <v>45771</v>
      </c>
      <c r="AC2" s="18">
        <f>AB2+1</f>
        <v>45772</v>
      </c>
      <c r="AD2" s="19">
        <f t="shared" si="0"/>
        <v>45773</v>
      </c>
      <c r="AE2" s="19">
        <f t="shared" si="0"/>
        <v>45774</v>
      </c>
      <c r="AF2" s="19">
        <v>28</v>
      </c>
      <c r="AG2" s="19">
        <v>29</v>
      </c>
      <c r="AH2" s="19">
        <v>30</v>
      </c>
      <c r="AI2" s="141" t="s">
        <v>41</v>
      </c>
      <c r="AJ2" s="145" t="s">
        <v>42</v>
      </c>
      <c r="AK2" s="147" t="s">
        <v>43</v>
      </c>
      <c r="AL2" s="149" t="s">
        <v>44</v>
      </c>
      <c r="AM2" s="151" t="s">
        <v>45</v>
      </c>
      <c r="AN2" s="153" t="s">
        <v>46</v>
      </c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</row>
    <row r="3" spans="1:67" s="24" customFormat="1" ht="18" thickBot="1" x14ac:dyDescent="0.45">
      <c r="A3" s="193"/>
      <c r="B3" s="136"/>
      <c r="C3" s="140"/>
      <c r="D3" s="65" t="s">
        <v>47</v>
      </c>
      <c r="E3" s="39">
        <f>E2</f>
        <v>45748</v>
      </c>
      <c r="F3" s="40">
        <f t="shared" ref="F3:AE3" si="1">F2</f>
        <v>45749</v>
      </c>
      <c r="G3" s="39">
        <f t="shared" si="1"/>
        <v>45750</v>
      </c>
      <c r="H3" s="40">
        <f t="shared" si="1"/>
        <v>45751</v>
      </c>
      <c r="I3" s="39">
        <f t="shared" si="1"/>
        <v>45752</v>
      </c>
      <c r="J3" s="40">
        <f t="shared" si="1"/>
        <v>45753</v>
      </c>
      <c r="K3" s="39">
        <f t="shared" si="1"/>
        <v>45754</v>
      </c>
      <c r="L3" s="40">
        <f t="shared" si="1"/>
        <v>45755</v>
      </c>
      <c r="M3" s="39">
        <f t="shared" si="1"/>
        <v>45756</v>
      </c>
      <c r="N3" s="40">
        <f t="shared" si="1"/>
        <v>45757</v>
      </c>
      <c r="O3" s="39">
        <f t="shared" si="1"/>
        <v>45758</v>
      </c>
      <c r="P3" s="40">
        <f t="shared" si="1"/>
        <v>45759</v>
      </c>
      <c r="Q3" s="39">
        <f t="shared" si="1"/>
        <v>45760</v>
      </c>
      <c r="R3" s="40">
        <f t="shared" si="1"/>
        <v>45761</v>
      </c>
      <c r="S3" s="39">
        <f t="shared" si="1"/>
        <v>45762</v>
      </c>
      <c r="T3" s="40">
        <f t="shared" si="1"/>
        <v>45763</v>
      </c>
      <c r="U3" s="39">
        <f t="shared" si="1"/>
        <v>45764</v>
      </c>
      <c r="V3" s="40">
        <f t="shared" si="1"/>
        <v>45765</v>
      </c>
      <c r="W3" s="39">
        <f t="shared" si="1"/>
        <v>45766</v>
      </c>
      <c r="X3" s="40">
        <f t="shared" si="1"/>
        <v>45767</v>
      </c>
      <c r="Y3" s="39">
        <f t="shared" si="1"/>
        <v>45768</v>
      </c>
      <c r="Z3" s="40">
        <f t="shared" si="1"/>
        <v>45769</v>
      </c>
      <c r="AA3" s="39">
        <f t="shared" si="1"/>
        <v>45770</v>
      </c>
      <c r="AB3" s="40">
        <f t="shared" si="1"/>
        <v>45771</v>
      </c>
      <c r="AC3" s="39">
        <f t="shared" si="1"/>
        <v>45772</v>
      </c>
      <c r="AD3" s="40">
        <f t="shared" si="1"/>
        <v>45773</v>
      </c>
      <c r="AE3" s="39">
        <f t="shared" si="1"/>
        <v>45774</v>
      </c>
      <c r="AF3" s="39" t="s">
        <v>411</v>
      </c>
      <c r="AG3" s="39" t="s">
        <v>430</v>
      </c>
      <c r="AH3" s="39" t="s">
        <v>431</v>
      </c>
      <c r="AI3" s="142"/>
      <c r="AJ3" s="146"/>
      <c r="AK3" s="148"/>
      <c r="AL3" s="150"/>
      <c r="AM3" s="152"/>
      <c r="AN3" s="154"/>
    </row>
    <row r="4" spans="1:67" ht="21.75" customHeight="1" thickBot="1" x14ac:dyDescent="0.45">
      <c r="A4" s="155" t="s">
        <v>48</v>
      </c>
      <c r="B4" s="190" t="s">
        <v>67</v>
      </c>
      <c r="C4" s="159" t="s">
        <v>50</v>
      </c>
      <c r="D4" s="33" t="s">
        <v>51</v>
      </c>
      <c r="E4" s="34" t="s">
        <v>427</v>
      </c>
      <c r="F4" s="34" t="s">
        <v>211</v>
      </c>
      <c r="G4" s="34" t="s">
        <v>315</v>
      </c>
      <c r="H4" s="34" t="s">
        <v>94</v>
      </c>
      <c r="I4" s="43"/>
      <c r="J4" s="34"/>
      <c r="K4" s="34" t="s">
        <v>233</v>
      </c>
      <c r="L4" s="34" t="s">
        <v>381</v>
      </c>
      <c r="M4" s="34" t="s">
        <v>233</v>
      </c>
      <c r="N4" s="34" t="s">
        <v>120</v>
      </c>
      <c r="O4" s="34" t="s">
        <v>428</v>
      </c>
      <c r="P4" s="43"/>
      <c r="Q4" s="34"/>
      <c r="R4" s="34" t="s">
        <v>223</v>
      </c>
      <c r="S4" s="34" t="s">
        <v>119</v>
      </c>
      <c r="T4" s="34" t="s">
        <v>78</v>
      </c>
      <c r="U4" s="34" t="s">
        <v>100</v>
      </c>
      <c r="V4" s="34" t="s">
        <v>78</v>
      </c>
      <c r="W4" s="43"/>
      <c r="X4" s="34"/>
      <c r="Y4" s="34" t="s">
        <v>318</v>
      </c>
      <c r="Z4" s="34" t="s">
        <v>120</v>
      </c>
      <c r="AA4" s="34" t="s">
        <v>120</v>
      </c>
      <c r="AB4" s="34" t="s">
        <v>69</v>
      </c>
      <c r="AC4" s="34" t="s">
        <v>429</v>
      </c>
      <c r="AD4" s="43"/>
      <c r="AE4" s="34"/>
      <c r="AF4" s="34" t="s">
        <v>368</v>
      </c>
      <c r="AG4" s="34" t="s">
        <v>79</v>
      </c>
      <c r="AH4" s="34" t="s">
        <v>79</v>
      </c>
      <c r="AI4" s="160" t="s">
        <v>355</v>
      </c>
      <c r="AJ4" s="161"/>
      <c r="AK4" s="108"/>
      <c r="AL4" s="110"/>
      <c r="AM4" s="183">
        <f>(E4+F4+G4+H4+K4+L4+M4+N4+O4+R4+S4+T4+U4+V4+Y4+Z4+AA4+AB4+AC4+AF4+AG4+AH4)/22</f>
        <v>0.3312184343434344</v>
      </c>
      <c r="AN4" s="203">
        <f>(E5+F5+G5+H5+K5+L5+M5+N5+O5+R5+S5+T5+U5+V5+Y5+Z5+AB5+AC5+AF5+AG5+AH5)/21</f>
        <v>0.7829695767195769</v>
      </c>
      <c r="AP4" s="24"/>
    </row>
    <row r="5" spans="1:67" ht="21.75" customHeight="1" thickTop="1" thickBot="1" x14ac:dyDescent="0.45">
      <c r="A5" s="156"/>
      <c r="B5" s="186"/>
      <c r="C5" s="120"/>
      <c r="D5" s="25" t="s">
        <v>52</v>
      </c>
      <c r="E5" s="26" t="s">
        <v>309</v>
      </c>
      <c r="F5" s="26" t="s">
        <v>147</v>
      </c>
      <c r="G5" s="26" t="s">
        <v>312</v>
      </c>
      <c r="H5" s="26" t="s">
        <v>103</v>
      </c>
      <c r="I5" s="44"/>
      <c r="J5" s="26"/>
      <c r="K5" s="26" t="s">
        <v>153</v>
      </c>
      <c r="L5" s="26" t="s">
        <v>312</v>
      </c>
      <c r="M5" s="26" t="s">
        <v>326</v>
      </c>
      <c r="N5" s="26" t="s">
        <v>178</v>
      </c>
      <c r="O5" s="26" t="s">
        <v>101</v>
      </c>
      <c r="P5" s="44"/>
      <c r="Q5" s="26"/>
      <c r="R5" s="26" t="s">
        <v>83</v>
      </c>
      <c r="S5" s="26" t="s">
        <v>312</v>
      </c>
      <c r="T5" s="26" t="s">
        <v>312</v>
      </c>
      <c r="U5" s="26" t="s">
        <v>83</v>
      </c>
      <c r="V5" s="26" t="s">
        <v>84</v>
      </c>
      <c r="W5" s="44"/>
      <c r="X5" s="26"/>
      <c r="Y5" s="26" t="s">
        <v>116</v>
      </c>
      <c r="Z5" s="26" t="s">
        <v>98</v>
      </c>
      <c r="AA5" s="26" t="s">
        <v>312</v>
      </c>
      <c r="AB5" s="26" t="s">
        <v>169</v>
      </c>
      <c r="AC5" s="26" t="s">
        <v>141</v>
      </c>
      <c r="AD5" s="44"/>
      <c r="AE5" s="26"/>
      <c r="AF5" s="26" t="s">
        <v>154</v>
      </c>
      <c r="AG5" s="26" t="s">
        <v>91</v>
      </c>
      <c r="AH5" s="26" t="s">
        <v>151</v>
      </c>
      <c r="AI5" s="127"/>
      <c r="AJ5" s="162"/>
      <c r="AK5" s="194"/>
      <c r="AL5" s="195"/>
      <c r="AM5" s="111"/>
      <c r="AN5" s="181"/>
      <c r="AO5" s="28"/>
    </row>
    <row r="6" spans="1:67" ht="21.75" customHeight="1" thickTop="1" thickBot="1" x14ac:dyDescent="0.45">
      <c r="A6" s="156"/>
      <c r="B6" s="186" t="s">
        <v>49</v>
      </c>
      <c r="C6" s="120" t="s">
        <v>424</v>
      </c>
      <c r="D6" s="25" t="s">
        <v>51</v>
      </c>
      <c r="E6" s="206" t="s">
        <v>70</v>
      </c>
      <c r="F6" s="207"/>
      <c r="G6" s="207"/>
      <c r="H6" s="207"/>
      <c r="I6" s="207"/>
      <c r="J6" s="207"/>
      <c r="K6" s="207"/>
      <c r="L6" s="208"/>
      <c r="M6" s="26" t="s">
        <v>156</v>
      </c>
      <c r="N6" s="26" t="s">
        <v>100</v>
      </c>
      <c r="O6" s="26" t="s">
        <v>100</v>
      </c>
      <c r="P6" s="44"/>
      <c r="Q6" s="26"/>
      <c r="R6" s="26" t="s">
        <v>140</v>
      </c>
      <c r="S6" s="26" t="s">
        <v>311</v>
      </c>
      <c r="T6" s="26" t="s">
        <v>376</v>
      </c>
      <c r="U6" s="26" t="s">
        <v>303</v>
      </c>
      <c r="V6" s="26" t="s">
        <v>311</v>
      </c>
      <c r="W6" s="44"/>
      <c r="X6" s="26"/>
      <c r="Y6" s="26" t="s">
        <v>143</v>
      </c>
      <c r="Z6" s="26" t="s">
        <v>95</v>
      </c>
      <c r="AA6" s="26" t="s">
        <v>179</v>
      </c>
      <c r="AB6" s="26" t="s">
        <v>135</v>
      </c>
      <c r="AC6" s="26" t="s">
        <v>160</v>
      </c>
      <c r="AD6" s="44"/>
      <c r="AE6" s="26"/>
      <c r="AF6" s="26" t="s">
        <v>432</v>
      </c>
      <c r="AG6" s="26" t="s">
        <v>95</v>
      </c>
      <c r="AH6" s="26" t="s">
        <v>160</v>
      </c>
      <c r="AI6" s="112"/>
      <c r="AJ6" s="106"/>
      <c r="AK6" s="194"/>
      <c r="AL6" s="195"/>
      <c r="AM6" s="111">
        <f>(M6+N6+O6+R6+S6+T6+U6+V6+Y6+Z6+AA6+AB6+AC6+AF6+AG6+AH6)/16</f>
        <v>0.35642361111111109</v>
      </c>
      <c r="AN6" s="181">
        <f>(M7+N7+O7+R7+S7+T7+U7+V7+Y7+Z7+AB7+AC7+AF7+AG7+AH7)/15</f>
        <v>0.79319444444444431</v>
      </c>
      <c r="AO6" s="28"/>
    </row>
    <row r="7" spans="1:67" ht="21.75" customHeight="1" thickTop="1" thickBot="1" x14ac:dyDescent="0.45">
      <c r="A7" s="156"/>
      <c r="B7" s="186"/>
      <c r="C7" s="120"/>
      <c r="D7" s="25" t="s">
        <v>52</v>
      </c>
      <c r="E7" s="209"/>
      <c r="F7" s="210"/>
      <c r="G7" s="210"/>
      <c r="H7" s="210"/>
      <c r="I7" s="210"/>
      <c r="J7" s="210"/>
      <c r="K7" s="210"/>
      <c r="L7" s="211"/>
      <c r="M7" s="26" t="s">
        <v>326</v>
      </c>
      <c r="N7" s="26" t="s">
        <v>178</v>
      </c>
      <c r="O7" s="26" t="s">
        <v>83</v>
      </c>
      <c r="P7" s="44"/>
      <c r="Q7" s="26"/>
      <c r="R7" s="26" t="s">
        <v>333</v>
      </c>
      <c r="S7" s="26" t="s">
        <v>147</v>
      </c>
      <c r="T7" s="26" t="s">
        <v>150</v>
      </c>
      <c r="U7" s="26" t="s">
        <v>309</v>
      </c>
      <c r="V7" s="26" t="s">
        <v>81</v>
      </c>
      <c r="W7" s="44"/>
      <c r="X7" s="26"/>
      <c r="Y7" s="26" t="s">
        <v>309</v>
      </c>
      <c r="Z7" s="26" t="s">
        <v>98</v>
      </c>
      <c r="AA7" s="26" t="s">
        <v>433</v>
      </c>
      <c r="AB7" s="26" t="s">
        <v>343</v>
      </c>
      <c r="AC7" s="26" t="s">
        <v>85</v>
      </c>
      <c r="AD7" s="44"/>
      <c r="AE7" s="26"/>
      <c r="AF7" s="26" t="s">
        <v>113</v>
      </c>
      <c r="AG7" s="26" t="s">
        <v>165</v>
      </c>
      <c r="AH7" s="26" t="s">
        <v>309</v>
      </c>
      <c r="AI7" s="112"/>
      <c r="AJ7" s="106"/>
      <c r="AK7" s="194"/>
      <c r="AL7" s="195"/>
      <c r="AM7" s="111"/>
      <c r="AN7" s="181"/>
      <c r="AO7" s="28"/>
    </row>
    <row r="8" spans="1:67" ht="21.75" customHeight="1" thickTop="1" thickBot="1" x14ac:dyDescent="0.45">
      <c r="A8" s="156"/>
      <c r="B8" s="186" t="s">
        <v>53</v>
      </c>
      <c r="C8" s="120" t="s">
        <v>54</v>
      </c>
      <c r="D8" s="25" t="s">
        <v>51</v>
      </c>
      <c r="E8" s="26" t="s">
        <v>121</v>
      </c>
      <c r="F8" s="26" t="s">
        <v>121</v>
      </c>
      <c r="G8" s="26" t="s">
        <v>79</v>
      </c>
      <c r="H8" s="26" t="s">
        <v>156</v>
      </c>
      <c r="I8" s="44"/>
      <c r="J8" s="26"/>
      <c r="K8" s="26" t="s">
        <v>71</v>
      </c>
      <c r="L8" s="26" t="s">
        <v>73</v>
      </c>
      <c r="M8" s="26" t="s">
        <v>121</v>
      </c>
      <c r="N8" s="26" t="s">
        <v>156</v>
      </c>
      <c r="O8" s="26" t="s">
        <v>160</v>
      </c>
      <c r="P8" s="44"/>
      <c r="Q8" s="26"/>
      <c r="R8" s="26" t="s">
        <v>135</v>
      </c>
      <c r="S8" s="26" t="s">
        <v>72</v>
      </c>
      <c r="T8" s="26" t="s">
        <v>68</v>
      </c>
      <c r="U8" s="126" t="s">
        <v>176</v>
      </c>
      <c r="V8" s="26" t="s">
        <v>71</v>
      </c>
      <c r="W8" s="44"/>
      <c r="X8" s="26"/>
      <c r="Y8" s="26" t="s">
        <v>135</v>
      </c>
      <c r="Z8" s="26" t="s">
        <v>71</v>
      </c>
      <c r="AA8" s="26" t="s">
        <v>121</v>
      </c>
      <c r="AB8" s="26" t="s">
        <v>135</v>
      </c>
      <c r="AC8" s="26" t="s">
        <v>160</v>
      </c>
      <c r="AD8" s="44"/>
      <c r="AE8" s="26"/>
      <c r="AF8" s="26" t="s">
        <v>149</v>
      </c>
      <c r="AG8" s="26" t="s">
        <v>156</v>
      </c>
      <c r="AH8" s="26" t="s">
        <v>121</v>
      </c>
      <c r="AI8" s="112"/>
      <c r="AJ8" s="106"/>
      <c r="AK8" s="194"/>
      <c r="AL8" s="195">
        <v>1.5</v>
      </c>
      <c r="AM8" s="111">
        <f>(E8+F8+G8+H8+K8+L8+M8+N8+O8+R8+S8+T8+V8+Y8+Z8+AA8+AB8+AC8+AF8+AG8+AH8)/21</f>
        <v>0.3697751322751322</v>
      </c>
      <c r="AN8" s="181">
        <f>(E9+F9+G9+K9+L9+M9+N9+O9+R9+S9+T9+V9+Y9+Z9+AB9+AC9+AF9+AG9+AH9)/19</f>
        <v>0.7653143274853802</v>
      </c>
    </row>
    <row r="9" spans="1:67" ht="21.75" customHeight="1" thickTop="1" thickBot="1" x14ac:dyDescent="0.45">
      <c r="A9" s="156"/>
      <c r="B9" s="186"/>
      <c r="C9" s="120"/>
      <c r="D9" s="25" t="s">
        <v>52</v>
      </c>
      <c r="E9" s="26" t="s">
        <v>434</v>
      </c>
      <c r="F9" s="26" t="s">
        <v>83</v>
      </c>
      <c r="G9" s="26" t="s">
        <v>435</v>
      </c>
      <c r="H9" s="41" t="s">
        <v>279</v>
      </c>
      <c r="I9" s="44"/>
      <c r="J9" s="26"/>
      <c r="K9" s="26" t="s">
        <v>434</v>
      </c>
      <c r="L9" s="26" t="s">
        <v>234</v>
      </c>
      <c r="M9" s="26" t="s">
        <v>228</v>
      </c>
      <c r="N9" s="26" t="s">
        <v>337</v>
      </c>
      <c r="O9" s="26" t="s">
        <v>435</v>
      </c>
      <c r="P9" s="44"/>
      <c r="Q9" s="26"/>
      <c r="R9" s="26" t="s">
        <v>92</v>
      </c>
      <c r="S9" s="26" t="s">
        <v>85</v>
      </c>
      <c r="T9" s="26" t="s">
        <v>169</v>
      </c>
      <c r="U9" s="126"/>
      <c r="V9" s="26" t="s">
        <v>103</v>
      </c>
      <c r="W9" s="44"/>
      <c r="X9" s="26"/>
      <c r="Y9" s="26" t="s">
        <v>184</v>
      </c>
      <c r="Z9" s="26" t="s">
        <v>222</v>
      </c>
      <c r="AA9" s="26" t="s">
        <v>313</v>
      </c>
      <c r="AB9" s="26" t="s">
        <v>228</v>
      </c>
      <c r="AC9" s="26" t="s">
        <v>169</v>
      </c>
      <c r="AD9" s="44"/>
      <c r="AE9" s="26"/>
      <c r="AF9" s="26" t="s">
        <v>222</v>
      </c>
      <c r="AG9" s="26" t="s">
        <v>222</v>
      </c>
      <c r="AH9" s="26" t="s">
        <v>84</v>
      </c>
      <c r="AI9" s="112"/>
      <c r="AJ9" s="106"/>
      <c r="AK9" s="194"/>
      <c r="AL9" s="195"/>
      <c r="AM9" s="111"/>
      <c r="AN9" s="181"/>
    </row>
    <row r="10" spans="1:67" ht="21.75" customHeight="1" thickTop="1" thickBot="1" x14ac:dyDescent="0.45">
      <c r="A10" s="156"/>
      <c r="B10" s="186" t="s">
        <v>53</v>
      </c>
      <c r="C10" s="120" t="s">
        <v>55</v>
      </c>
      <c r="D10" s="25" t="s">
        <v>51</v>
      </c>
      <c r="E10" s="26" t="s">
        <v>93</v>
      </c>
      <c r="F10" s="26" t="s">
        <v>134</v>
      </c>
      <c r="G10" s="26" t="s">
        <v>99</v>
      </c>
      <c r="H10" s="26" t="s">
        <v>99</v>
      </c>
      <c r="I10" s="44"/>
      <c r="J10" s="26"/>
      <c r="K10" s="26" t="s">
        <v>97</v>
      </c>
      <c r="L10" s="26" t="s">
        <v>93</v>
      </c>
      <c r="M10" s="26" t="s">
        <v>142</v>
      </c>
      <c r="N10" s="26" t="s">
        <v>79</v>
      </c>
      <c r="O10" s="26" t="s">
        <v>137</v>
      </c>
      <c r="P10" s="44"/>
      <c r="Q10" s="26"/>
      <c r="R10" s="126" t="s">
        <v>176</v>
      </c>
      <c r="S10" s="26" t="s">
        <v>79</v>
      </c>
      <c r="T10" s="26" t="s">
        <v>119</v>
      </c>
      <c r="U10" s="26" t="s">
        <v>100</v>
      </c>
      <c r="V10" s="26" t="s">
        <v>161</v>
      </c>
      <c r="W10" s="44"/>
      <c r="X10" s="26"/>
      <c r="Y10" s="26" t="s">
        <v>156</v>
      </c>
      <c r="Z10" s="26" t="s">
        <v>71</v>
      </c>
      <c r="AA10" s="26" t="s">
        <v>79</v>
      </c>
      <c r="AB10" s="26" t="s">
        <v>122</v>
      </c>
      <c r="AC10" s="26" t="s">
        <v>71</v>
      </c>
      <c r="AD10" s="44"/>
      <c r="AE10" s="26"/>
      <c r="AF10" s="26" t="s">
        <v>135</v>
      </c>
      <c r="AG10" s="26" t="s">
        <v>137</v>
      </c>
      <c r="AH10" s="26" t="s">
        <v>79</v>
      </c>
      <c r="AI10" s="112"/>
      <c r="AJ10" s="106"/>
      <c r="AK10" s="194"/>
      <c r="AL10" s="195">
        <v>1</v>
      </c>
      <c r="AM10" s="111">
        <f>(M10+N10+O10+S10+T10+U10+V10+Y10+Z10+AA10+AB10+AC10+AF10+AG10+AH10+L10+K10+H10+G10+F10+E10)/21</f>
        <v>0.36365740740740737</v>
      </c>
      <c r="AN10" s="181">
        <f>(AH11+AG11+AF11+AC11+AB11+Z11+Y11+V11+U11+T11+S11+O11+N11+M11+L11+K11+H11+G11+F11+E11)/20</f>
        <v>0.78604166666666675</v>
      </c>
    </row>
    <row r="11" spans="1:67" ht="21.75" customHeight="1" thickTop="1" thickBot="1" x14ac:dyDescent="0.45">
      <c r="A11" s="156"/>
      <c r="B11" s="186"/>
      <c r="C11" s="120"/>
      <c r="D11" s="25" t="s">
        <v>52</v>
      </c>
      <c r="E11" s="26" t="s">
        <v>116</v>
      </c>
      <c r="F11" s="26" t="s">
        <v>112</v>
      </c>
      <c r="G11" s="26" t="s">
        <v>85</v>
      </c>
      <c r="H11" s="26" t="s">
        <v>123</v>
      </c>
      <c r="I11" s="44"/>
      <c r="J11" s="26"/>
      <c r="K11" s="26" t="s">
        <v>327</v>
      </c>
      <c r="L11" s="26" t="s">
        <v>101</v>
      </c>
      <c r="M11" s="26" t="s">
        <v>85</v>
      </c>
      <c r="N11" s="26" t="s">
        <v>178</v>
      </c>
      <c r="O11" s="26" t="s">
        <v>102</v>
      </c>
      <c r="P11" s="44"/>
      <c r="Q11" s="26"/>
      <c r="R11" s="126"/>
      <c r="S11" s="26" t="s">
        <v>86</v>
      </c>
      <c r="T11" s="26" t="s">
        <v>84</v>
      </c>
      <c r="U11" s="26" t="s">
        <v>87</v>
      </c>
      <c r="V11" s="26" t="s">
        <v>81</v>
      </c>
      <c r="W11" s="44"/>
      <c r="X11" s="26"/>
      <c r="Y11" s="26" t="s">
        <v>151</v>
      </c>
      <c r="Z11" s="26" t="s">
        <v>98</v>
      </c>
      <c r="AA11" s="26" t="s">
        <v>436</v>
      </c>
      <c r="AB11" s="26" t="s">
        <v>169</v>
      </c>
      <c r="AC11" s="26" t="s">
        <v>85</v>
      </c>
      <c r="AD11" s="44"/>
      <c r="AE11" s="26"/>
      <c r="AF11" s="26" t="s">
        <v>82</v>
      </c>
      <c r="AG11" s="26" t="s">
        <v>170</v>
      </c>
      <c r="AH11" s="26" t="s">
        <v>309</v>
      </c>
      <c r="AI11" s="112"/>
      <c r="AJ11" s="106"/>
      <c r="AK11" s="194"/>
      <c r="AL11" s="195"/>
      <c r="AM11" s="111"/>
      <c r="AN11" s="181"/>
    </row>
    <row r="12" spans="1:67" ht="21.75" customHeight="1" thickTop="1" thickBot="1" x14ac:dyDescent="0.45">
      <c r="A12" s="157"/>
      <c r="B12" s="186" t="s">
        <v>53</v>
      </c>
      <c r="C12" s="120" t="s">
        <v>243</v>
      </c>
      <c r="D12" s="25" t="s">
        <v>51</v>
      </c>
      <c r="E12" s="26" t="s">
        <v>193</v>
      </c>
      <c r="F12" s="26" t="s">
        <v>120</v>
      </c>
      <c r="G12" s="26" t="s">
        <v>99</v>
      </c>
      <c r="H12" s="26" t="s">
        <v>317</v>
      </c>
      <c r="I12" s="44"/>
      <c r="J12" s="26"/>
      <c r="K12" s="26" t="s">
        <v>299</v>
      </c>
      <c r="L12" s="26" t="s">
        <v>142</v>
      </c>
      <c r="M12" s="26" t="s">
        <v>69</v>
      </c>
      <c r="N12" s="26" t="s">
        <v>207</v>
      </c>
      <c r="O12" s="26" t="s">
        <v>124</v>
      </c>
      <c r="P12" s="44"/>
      <c r="Q12" s="26"/>
      <c r="R12" s="26" t="s">
        <v>142</v>
      </c>
      <c r="S12" s="26" t="s">
        <v>369</v>
      </c>
      <c r="T12" s="26" t="s">
        <v>69</v>
      </c>
      <c r="U12" s="26" t="s">
        <v>345</v>
      </c>
      <c r="V12" s="26" t="s">
        <v>124</v>
      </c>
      <c r="W12" s="44"/>
      <c r="X12" s="26"/>
      <c r="Y12" s="26" t="s">
        <v>437</v>
      </c>
      <c r="Z12" s="26" t="s">
        <v>304</v>
      </c>
      <c r="AA12" s="26" t="s">
        <v>124</v>
      </c>
      <c r="AB12" s="26" t="s">
        <v>196</v>
      </c>
      <c r="AC12" s="26" t="s">
        <v>350</v>
      </c>
      <c r="AD12" s="44"/>
      <c r="AE12" s="26"/>
      <c r="AF12" s="26" t="s">
        <v>72</v>
      </c>
      <c r="AG12" s="26" t="s">
        <v>193</v>
      </c>
      <c r="AH12" s="26" t="s">
        <v>99</v>
      </c>
      <c r="AI12" s="194" t="s">
        <v>465</v>
      </c>
      <c r="AJ12" s="106"/>
      <c r="AK12" s="194" t="s">
        <v>280</v>
      </c>
      <c r="AL12" s="200"/>
      <c r="AM12" s="183">
        <f>(E12+F12+G12+H12+K12+L12+M12+N12+O12+R12+S12+T12+U12+V12+Y12+Z12+AA12+AB12+AC12+AF12+AG12+AH12)/22</f>
        <v>0.3472537878787878</v>
      </c>
      <c r="AN12" s="181">
        <f>(E13+F13+G13+H13+K13+L13+M13+N13+O13+R13+S13+T13+U13+V13+Y13+Z13+AB13+AC13+AF13+AG13+AH13)/21</f>
        <v>0.79193121693121682</v>
      </c>
    </row>
    <row r="13" spans="1:67" ht="21.75" customHeight="1" thickTop="1" thickBot="1" x14ac:dyDescent="0.45">
      <c r="A13" s="157"/>
      <c r="B13" s="186"/>
      <c r="C13" s="120"/>
      <c r="D13" s="25" t="s">
        <v>52</v>
      </c>
      <c r="E13" s="26" t="s">
        <v>312</v>
      </c>
      <c r="F13" s="26" t="s">
        <v>312</v>
      </c>
      <c r="G13" s="26" t="s">
        <v>438</v>
      </c>
      <c r="H13" s="26" t="s">
        <v>439</v>
      </c>
      <c r="I13" s="44"/>
      <c r="J13" s="26"/>
      <c r="K13" s="26" t="s">
        <v>146</v>
      </c>
      <c r="L13" s="26" t="s">
        <v>101</v>
      </c>
      <c r="M13" s="26" t="s">
        <v>326</v>
      </c>
      <c r="N13" s="26" t="s">
        <v>178</v>
      </c>
      <c r="O13" s="26" t="s">
        <v>101</v>
      </c>
      <c r="P13" s="44"/>
      <c r="Q13" s="26"/>
      <c r="R13" s="26" t="s">
        <v>349</v>
      </c>
      <c r="S13" s="26" t="s">
        <v>123</v>
      </c>
      <c r="T13" s="26" t="s">
        <v>88</v>
      </c>
      <c r="U13" s="26" t="s">
        <v>101</v>
      </c>
      <c r="V13" s="26" t="s">
        <v>289</v>
      </c>
      <c r="W13" s="44"/>
      <c r="X13" s="26"/>
      <c r="Y13" s="26" t="s">
        <v>89</v>
      </c>
      <c r="Z13" s="26" t="s">
        <v>85</v>
      </c>
      <c r="AA13" s="26" t="s">
        <v>377</v>
      </c>
      <c r="AB13" s="26" t="s">
        <v>80</v>
      </c>
      <c r="AC13" s="26" t="s">
        <v>80</v>
      </c>
      <c r="AD13" s="44"/>
      <c r="AE13" s="26"/>
      <c r="AF13" s="26" t="s">
        <v>91</v>
      </c>
      <c r="AG13" s="26" t="s">
        <v>80</v>
      </c>
      <c r="AH13" s="26" t="s">
        <v>91</v>
      </c>
      <c r="AI13" s="194"/>
      <c r="AJ13" s="106"/>
      <c r="AK13" s="194"/>
      <c r="AL13" s="200"/>
      <c r="AM13" s="111"/>
      <c r="AN13" s="181"/>
    </row>
    <row r="14" spans="1:67" ht="21.75" customHeight="1" thickTop="1" thickBot="1" x14ac:dyDescent="0.45">
      <c r="A14" s="157"/>
      <c r="B14" s="186" t="s">
        <v>56</v>
      </c>
      <c r="C14" s="120" t="s">
        <v>177</v>
      </c>
      <c r="D14" s="25" t="s">
        <v>51</v>
      </c>
      <c r="E14" s="26" t="s">
        <v>77</v>
      </c>
      <c r="F14" s="26" t="s">
        <v>137</v>
      </c>
      <c r="G14" s="26" t="s">
        <v>193</v>
      </c>
      <c r="H14" s="26" t="s">
        <v>106</v>
      </c>
      <c r="I14" s="44"/>
      <c r="J14" s="26"/>
      <c r="K14" s="26" t="s">
        <v>375</v>
      </c>
      <c r="L14" s="26" t="s">
        <v>215</v>
      </c>
      <c r="M14" s="26" t="s">
        <v>96</v>
      </c>
      <c r="N14" s="26" t="s">
        <v>139</v>
      </c>
      <c r="O14" s="26" t="s">
        <v>193</v>
      </c>
      <c r="P14" s="44"/>
      <c r="Q14" s="26"/>
      <c r="R14" s="26" t="s">
        <v>193</v>
      </c>
      <c r="S14" s="26" t="s">
        <v>193</v>
      </c>
      <c r="T14" s="26" t="s">
        <v>137</v>
      </c>
      <c r="U14" s="26" t="s">
        <v>77</v>
      </c>
      <c r="V14" s="26" t="s">
        <v>440</v>
      </c>
      <c r="W14" s="44"/>
      <c r="X14" s="26"/>
      <c r="Y14" s="26" t="s">
        <v>97</v>
      </c>
      <c r="Z14" s="26" t="s">
        <v>142</v>
      </c>
      <c r="AA14" s="26" t="s">
        <v>96</v>
      </c>
      <c r="AB14" s="26" t="s">
        <v>134</v>
      </c>
      <c r="AC14" s="26" t="s">
        <v>77</v>
      </c>
      <c r="AD14" s="44"/>
      <c r="AE14" s="26"/>
      <c r="AF14" s="26" t="s">
        <v>96</v>
      </c>
      <c r="AG14" s="26" t="s">
        <v>96</v>
      </c>
      <c r="AH14" s="26" t="s">
        <v>142</v>
      </c>
      <c r="AI14" s="194" t="s">
        <v>282</v>
      </c>
      <c r="AJ14" s="106"/>
      <c r="AK14" s="194"/>
      <c r="AL14" s="200"/>
      <c r="AM14" s="183">
        <f>(E14+F14+G14+H14+K14+L14+M14+N14+O14+R14+S14+T14+U14+V14+Y14+Z14+AA14+AB14+AC14+AF14+AG14+AH14)/22</f>
        <v>0.34974747474747475</v>
      </c>
      <c r="AN14" s="105">
        <f>(E15+F15+G15+H15+K15+L15+M15+N15+O15+R15+S15+T15+U15+V15+Y15+Z15+AB15+AC15+AF15+AG15+AH15)/21</f>
        <v>0.78290343915343907</v>
      </c>
    </row>
    <row r="15" spans="1:67" ht="21.75" customHeight="1" thickTop="1" thickBot="1" x14ac:dyDescent="0.45">
      <c r="A15" s="158"/>
      <c r="B15" s="186"/>
      <c r="C15" s="120"/>
      <c r="D15" s="25" t="s">
        <v>52</v>
      </c>
      <c r="E15" s="26" t="s">
        <v>89</v>
      </c>
      <c r="F15" s="26" t="s">
        <v>83</v>
      </c>
      <c r="G15" s="26" t="s">
        <v>126</v>
      </c>
      <c r="H15" s="26" t="s">
        <v>123</v>
      </c>
      <c r="I15" s="44"/>
      <c r="J15" s="26"/>
      <c r="K15" s="26" t="s">
        <v>165</v>
      </c>
      <c r="L15" s="26" t="s">
        <v>89</v>
      </c>
      <c r="M15" s="26" t="s">
        <v>151</v>
      </c>
      <c r="N15" s="26" t="s">
        <v>116</v>
      </c>
      <c r="O15" s="26" t="s">
        <v>103</v>
      </c>
      <c r="P15" s="44"/>
      <c r="Q15" s="26"/>
      <c r="R15" s="26" t="s">
        <v>166</v>
      </c>
      <c r="S15" s="26" t="s">
        <v>85</v>
      </c>
      <c r="T15" s="26" t="s">
        <v>92</v>
      </c>
      <c r="U15" s="26" t="s">
        <v>169</v>
      </c>
      <c r="V15" s="26" t="s">
        <v>102</v>
      </c>
      <c r="W15" s="44"/>
      <c r="X15" s="26"/>
      <c r="Y15" s="26" t="s">
        <v>141</v>
      </c>
      <c r="Z15" s="26" t="s">
        <v>103</v>
      </c>
      <c r="AA15" s="26" t="s">
        <v>216</v>
      </c>
      <c r="AB15" s="26" t="s">
        <v>90</v>
      </c>
      <c r="AC15" s="26" t="s">
        <v>290</v>
      </c>
      <c r="AD15" s="44"/>
      <c r="AE15" s="26"/>
      <c r="AF15" s="26" t="s">
        <v>147</v>
      </c>
      <c r="AG15" s="26" t="s">
        <v>90</v>
      </c>
      <c r="AH15" s="26" t="s">
        <v>81</v>
      </c>
      <c r="AI15" s="194"/>
      <c r="AJ15" s="106"/>
      <c r="AK15" s="194"/>
      <c r="AL15" s="200"/>
      <c r="AM15" s="111"/>
      <c r="AN15" s="181"/>
    </row>
    <row r="16" spans="1:67" ht="21.75" customHeight="1" x14ac:dyDescent="0.4">
      <c r="A16" s="30"/>
      <c r="B16" s="190" t="s">
        <v>56</v>
      </c>
      <c r="C16" s="120" t="s">
        <v>57</v>
      </c>
      <c r="D16" s="25" t="s">
        <v>51</v>
      </c>
      <c r="E16" s="26" t="s">
        <v>79</v>
      </c>
      <c r="F16" s="26" t="s">
        <v>79</v>
      </c>
      <c r="G16" s="26" t="s">
        <v>135</v>
      </c>
      <c r="H16" s="26" t="s">
        <v>71</v>
      </c>
      <c r="I16" s="44"/>
      <c r="J16" s="26"/>
      <c r="K16" s="26" t="s">
        <v>79</v>
      </c>
      <c r="L16" s="26" t="s">
        <v>135</v>
      </c>
      <c r="M16" s="26" t="s">
        <v>79</v>
      </c>
      <c r="N16" s="26" t="s">
        <v>121</v>
      </c>
      <c r="O16" s="26" t="s">
        <v>71</v>
      </c>
      <c r="P16" s="44"/>
      <c r="Q16" s="26"/>
      <c r="R16" s="26" t="s">
        <v>79</v>
      </c>
      <c r="S16" s="126" t="s">
        <v>412</v>
      </c>
      <c r="T16" s="26" t="s">
        <v>120</v>
      </c>
      <c r="U16" s="26" t="s">
        <v>79</v>
      </c>
      <c r="V16" s="26" t="s">
        <v>71</v>
      </c>
      <c r="W16" s="44"/>
      <c r="X16" s="26"/>
      <c r="Y16" s="26" t="s">
        <v>121</v>
      </c>
      <c r="Z16" s="26" t="s">
        <v>135</v>
      </c>
      <c r="AA16" s="26" t="s">
        <v>121</v>
      </c>
      <c r="AB16" s="26" t="s">
        <v>135</v>
      </c>
      <c r="AC16" s="26" t="s">
        <v>71</v>
      </c>
      <c r="AD16" s="44"/>
      <c r="AE16" s="26"/>
      <c r="AF16" s="26" t="s">
        <v>79</v>
      </c>
      <c r="AG16" s="26" t="s">
        <v>79</v>
      </c>
      <c r="AH16" s="26" t="s">
        <v>79</v>
      </c>
      <c r="AI16" s="194"/>
      <c r="AJ16" s="106"/>
      <c r="AK16" s="194"/>
      <c r="AL16" s="200"/>
      <c r="AM16" s="183">
        <f>(E16+F16+G16+H16+K16+L16+M16+N16+O16+R16+T16+U16+V16+Y16+Z16+AA16+AB16+AC16+AF16+AG16+AH16)/21</f>
        <v>0.36944444444444452</v>
      </c>
      <c r="AN16" s="105">
        <f>(E17+F17+G17+H17+K17+L17+M17+N17+O17+R17+T17+U17+V17+Y17+Z17+AB17+AC17+AF17+AG17+AH17)/20</f>
        <v>0.7830555555555555</v>
      </c>
    </row>
    <row r="17" spans="1:40" ht="21.75" customHeight="1" x14ac:dyDescent="0.4">
      <c r="A17" s="30"/>
      <c r="B17" s="186"/>
      <c r="C17" s="120"/>
      <c r="D17" s="25" t="s">
        <v>52</v>
      </c>
      <c r="E17" s="26" t="s">
        <v>89</v>
      </c>
      <c r="F17" s="26" t="s">
        <v>312</v>
      </c>
      <c r="G17" s="26" t="s">
        <v>126</v>
      </c>
      <c r="H17" s="26" t="s">
        <v>123</v>
      </c>
      <c r="I17" s="44"/>
      <c r="J17" s="26"/>
      <c r="K17" s="26" t="s">
        <v>165</v>
      </c>
      <c r="L17" s="26" t="s">
        <v>89</v>
      </c>
      <c r="M17" s="26" t="s">
        <v>151</v>
      </c>
      <c r="N17" s="26" t="s">
        <v>116</v>
      </c>
      <c r="O17" s="26" t="s">
        <v>103</v>
      </c>
      <c r="P17" s="44"/>
      <c r="Q17" s="26"/>
      <c r="R17" s="26" t="s">
        <v>166</v>
      </c>
      <c r="S17" s="126"/>
      <c r="T17" s="26" t="s">
        <v>84</v>
      </c>
      <c r="U17" s="26" t="s">
        <v>169</v>
      </c>
      <c r="V17" s="26" t="s">
        <v>102</v>
      </c>
      <c r="W17" s="44"/>
      <c r="X17" s="26"/>
      <c r="Y17" s="26" t="s">
        <v>141</v>
      </c>
      <c r="Z17" s="26" t="s">
        <v>103</v>
      </c>
      <c r="AA17" s="26" t="s">
        <v>216</v>
      </c>
      <c r="AB17" s="26" t="s">
        <v>90</v>
      </c>
      <c r="AC17" s="26" t="s">
        <v>290</v>
      </c>
      <c r="AD17" s="44"/>
      <c r="AE17" s="26"/>
      <c r="AF17" s="26" t="s">
        <v>147</v>
      </c>
      <c r="AG17" s="26" t="s">
        <v>90</v>
      </c>
      <c r="AH17" s="26" t="s">
        <v>81</v>
      </c>
      <c r="AI17" s="194"/>
      <c r="AJ17" s="106"/>
      <c r="AK17" s="194"/>
      <c r="AL17" s="200"/>
      <c r="AM17" s="111"/>
      <c r="AN17" s="181"/>
    </row>
    <row r="18" spans="1:40" ht="21.75" customHeight="1" x14ac:dyDescent="0.4">
      <c r="A18" s="30"/>
      <c r="B18" s="190" t="s">
        <v>56</v>
      </c>
      <c r="C18" s="120" t="s">
        <v>426</v>
      </c>
      <c r="D18" s="25" t="s">
        <v>51</v>
      </c>
      <c r="E18" s="206" t="s">
        <v>70</v>
      </c>
      <c r="F18" s="207"/>
      <c r="G18" s="207"/>
      <c r="H18" s="207"/>
      <c r="I18" s="207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208"/>
      <c r="V18" s="26" t="s">
        <v>156</v>
      </c>
      <c r="W18" s="44"/>
      <c r="X18" s="26"/>
      <c r="Y18" s="26" t="s">
        <v>156</v>
      </c>
      <c r="Z18" s="26" t="s">
        <v>134</v>
      </c>
      <c r="AA18" s="26" t="s">
        <v>69</v>
      </c>
      <c r="AB18" s="26" t="s">
        <v>143</v>
      </c>
      <c r="AC18" s="26" t="s">
        <v>95</v>
      </c>
      <c r="AD18" s="44"/>
      <c r="AE18" s="26"/>
      <c r="AF18" s="26" t="s">
        <v>79</v>
      </c>
      <c r="AG18" s="26" t="s">
        <v>95</v>
      </c>
      <c r="AH18" s="26" t="s">
        <v>137</v>
      </c>
      <c r="AI18" s="194"/>
      <c r="AJ18" s="106"/>
      <c r="AK18" s="194"/>
      <c r="AL18" s="200"/>
      <c r="AM18" s="111">
        <f>(V18+Y18+Z18+AA18+AB18+AC18+AF18+AG18+AH18)/9</f>
        <v>0.36219135802469138</v>
      </c>
      <c r="AN18" s="181">
        <f>(V19+Y19+Z19+AB19+AC19+AF19+AG19+AH19)/8</f>
        <v>0.77769097222222228</v>
      </c>
    </row>
    <row r="19" spans="1:40" ht="21.75" customHeight="1" x14ac:dyDescent="0.4">
      <c r="A19" s="30"/>
      <c r="B19" s="186"/>
      <c r="C19" s="120"/>
      <c r="D19" s="25" t="s">
        <v>52</v>
      </c>
      <c r="E19" s="209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0"/>
      <c r="U19" s="211"/>
      <c r="V19" s="26" t="s">
        <v>89</v>
      </c>
      <c r="W19" s="44"/>
      <c r="X19" s="26"/>
      <c r="Y19" s="26" t="s">
        <v>116</v>
      </c>
      <c r="Z19" s="26" t="s">
        <v>80</v>
      </c>
      <c r="AA19" s="26" t="s">
        <v>241</v>
      </c>
      <c r="AB19" s="26" t="s">
        <v>83</v>
      </c>
      <c r="AC19" s="26" t="s">
        <v>85</v>
      </c>
      <c r="AD19" s="44"/>
      <c r="AE19" s="26"/>
      <c r="AF19" s="26" t="s">
        <v>116</v>
      </c>
      <c r="AG19" s="26" t="s">
        <v>85</v>
      </c>
      <c r="AH19" s="26" t="s">
        <v>90</v>
      </c>
      <c r="AI19" s="194"/>
      <c r="AJ19" s="106"/>
      <c r="AK19" s="194"/>
      <c r="AL19" s="200"/>
      <c r="AM19" s="111"/>
      <c r="AN19" s="181"/>
    </row>
    <row r="20" spans="1:40" ht="21.75" customHeight="1" x14ac:dyDescent="0.4">
      <c r="A20" s="30"/>
      <c r="B20" s="186" t="s">
        <v>56</v>
      </c>
      <c r="C20" s="120" t="s">
        <v>425</v>
      </c>
      <c r="D20" s="25" t="s">
        <v>51</v>
      </c>
      <c r="E20" s="26" t="s">
        <v>303</v>
      </c>
      <c r="F20" s="26" t="s">
        <v>197</v>
      </c>
      <c r="G20" s="26" t="s">
        <v>140</v>
      </c>
      <c r="H20" s="26" t="s">
        <v>432</v>
      </c>
      <c r="I20" s="44"/>
      <c r="J20" s="26"/>
      <c r="K20" s="26" t="s">
        <v>303</v>
      </c>
      <c r="L20" s="26" t="s">
        <v>136</v>
      </c>
      <c r="M20" s="26" t="s">
        <v>77</v>
      </c>
      <c r="N20" s="206" t="s">
        <v>70</v>
      </c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8"/>
      <c r="AI20" s="194"/>
      <c r="AJ20" s="106"/>
      <c r="AK20" s="194" t="s">
        <v>464</v>
      </c>
      <c r="AL20" s="200"/>
      <c r="AM20" s="111">
        <f>(E20+F20+G20+H20+K20+L20+M20)/7</f>
        <v>0.34176587301587297</v>
      </c>
      <c r="AN20" s="181">
        <f>(E21+F21+G21+H21+K21+L21+M21)/7</f>
        <v>0.83134920634920639</v>
      </c>
    </row>
    <row r="21" spans="1:40" ht="21.75" customHeight="1" thickBot="1" x14ac:dyDescent="0.45">
      <c r="A21" s="30"/>
      <c r="B21" s="187"/>
      <c r="C21" s="121"/>
      <c r="D21" s="31" t="s">
        <v>52</v>
      </c>
      <c r="E21" s="32" t="s">
        <v>441</v>
      </c>
      <c r="F21" s="32" t="s">
        <v>290</v>
      </c>
      <c r="G21" s="32" t="s">
        <v>438</v>
      </c>
      <c r="H21" s="32" t="s">
        <v>442</v>
      </c>
      <c r="I21" s="45"/>
      <c r="J21" s="32"/>
      <c r="K21" s="32" t="s">
        <v>443</v>
      </c>
      <c r="L21" s="32" t="s">
        <v>85</v>
      </c>
      <c r="M21" s="32" t="s">
        <v>85</v>
      </c>
      <c r="N21" s="212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4"/>
      <c r="AI21" s="196"/>
      <c r="AJ21" s="167"/>
      <c r="AK21" s="196"/>
      <c r="AL21" s="201"/>
      <c r="AM21" s="188"/>
      <c r="AN21" s="189"/>
    </row>
    <row r="22" spans="1:40" ht="21.75" customHeight="1" x14ac:dyDescent="0.4">
      <c r="A22" s="115" t="s">
        <v>58</v>
      </c>
      <c r="B22" s="190" t="s">
        <v>59</v>
      </c>
      <c r="C22" s="159" t="s">
        <v>60</v>
      </c>
      <c r="D22" s="33" t="s">
        <v>51</v>
      </c>
      <c r="E22" s="34" t="s">
        <v>108</v>
      </c>
      <c r="F22" s="34" t="s">
        <v>125</v>
      </c>
      <c r="G22" s="34" t="s">
        <v>109</v>
      </c>
      <c r="H22" s="34" t="s">
        <v>372</v>
      </c>
      <c r="I22" s="43"/>
      <c r="J22" s="34"/>
      <c r="K22" s="34" t="s">
        <v>429</v>
      </c>
      <c r="L22" s="34" t="s">
        <v>138</v>
      </c>
      <c r="M22" s="34" t="s">
        <v>371</v>
      </c>
      <c r="N22" s="34" t="s">
        <v>125</v>
      </c>
      <c r="O22" s="34" t="s">
        <v>444</v>
      </c>
      <c r="P22" s="43"/>
      <c r="Q22" s="34"/>
      <c r="R22" s="34" t="s">
        <v>231</v>
      </c>
      <c r="S22" s="34" t="s">
        <v>304</v>
      </c>
      <c r="T22" s="34" t="s">
        <v>196</v>
      </c>
      <c r="U22" s="34" t="s">
        <v>125</v>
      </c>
      <c r="V22" s="34" t="s">
        <v>299</v>
      </c>
      <c r="W22" s="43"/>
      <c r="X22" s="34"/>
      <c r="Y22" s="34" t="s">
        <v>445</v>
      </c>
      <c r="Z22" s="34" t="s">
        <v>304</v>
      </c>
      <c r="AA22" s="34" t="s">
        <v>446</v>
      </c>
      <c r="AB22" s="34" t="s">
        <v>350</v>
      </c>
      <c r="AC22" s="34" t="s">
        <v>231</v>
      </c>
      <c r="AD22" s="43"/>
      <c r="AE22" s="34"/>
      <c r="AF22" s="34" t="s">
        <v>315</v>
      </c>
      <c r="AG22" s="34" t="s">
        <v>108</v>
      </c>
      <c r="AH22" s="34" t="s">
        <v>350</v>
      </c>
      <c r="AI22" s="160" t="s">
        <v>353</v>
      </c>
      <c r="AJ22" s="166"/>
      <c r="AK22" s="108" t="s">
        <v>282</v>
      </c>
      <c r="AL22" s="110"/>
      <c r="AM22" s="183">
        <f>(E22+F22+G22+H22+K22+L22+M22+N22+O22+R22+S22+T22+U22+V22+Y22+Z22+AA22+AB22+AC22+AF22+AG22+AH22)/22</f>
        <v>0.32597853535353533</v>
      </c>
      <c r="AN22" s="203">
        <f>(E23+F23+G23+H23+K23+L23+M23+N23+O23+R23+S23+T23+U23+V23+Y23+Z23+AB23+AC23+AF23+AG23+AH23)/21</f>
        <v>0.79966931216931214</v>
      </c>
    </row>
    <row r="23" spans="1:40" ht="21.75" customHeight="1" x14ac:dyDescent="0.4">
      <c r="A23" s="116"/>
      <c r="B23" s="186"/>
      <c r="C23" s="120"/>
      <c r="D23" s="25" t="s">
        <v>52</v>
      </c>
      <c r="E23" s="26" t="s">
        <v>116</v>
      </c>
      <c r="F23" s="26" t="s">
        <v>151</v>
      </c>
      <c r="G23" s="26" t="s">
        <v>307</v>
      </c>
      <c r="H23" s="26" t="s">
        <v>343</v>
      </c>
      <c r="I23" s="44"/>
      <c r="J23" s="26"/>
      <c r="K23" s="26" t="s">
        <v>151</v>
      </c>
      <c r="L23" s="26" t="s">
        <v>144</v>
      </c>
      <c r="M23" s="26" t="s">
        <v>441</v>
      </c>
      <c r="N23" s="26" t="s">
        <v>173</v>
      </c>
      <c r="O23" s="26" t="s">
        <v>150</v>
      </c>
      <c r="P23" s="44"/>
      <c r="Q23" s="26"/>
      <c r="R23" s="26" t="s">
        <v>173</v>
      </c>
      <c r="S23" s="26" t="s">
        <v>290</v>
      </c>
      <c r="T23" s="26" t="s">
        <v>173</v>
      </c>
      <c r="U23" s="26" t="s">
        <v>326</v>
      </c>
      <c r="V23" s="26" t="s">
        <v>188</v>
      </c>
      <c r="W23" s="44"/>
      <c r="X23" s="26"/>
      <c r="Y23" s="26" t="s">
        <v>294</v>
      </c>
      <c r="Z23" s="26" t="s">
        <v>154</v>
      </c>
      <c r="AA23" s="26" t="s">
        <v>173</v>
      </c>
      <c r="AB23" s="26" t="s">
        <v>159</v>
      </c>
      <c r="AC23" s="26" t="s">
        <v>112</v>
      </c>
      <c r="AD23" s="44"/>
      <c r="AE23" s="26"/>
      <c r="AF23" s="26" t="s">
        <v>144</v>
      </c>
      <c r="AG23" s="26" t="s">
        <v>157</v>
      </c>
      <c r="AH23" s="26" t="s">
        <v>208</v>
      </c>
      <c r="AI23" s="127"/>
      <c r="AJ23" s="106"/>
      <c r="AK23" s="194"/>
      <c r="AL23" s="195"/>
      <c r="AM23" s="111"/>
      <c r="AN23" s="181"/>
    </row>
    <row r="24" spans="1:40" ht="21.75" customHeight="1" x14ac:dyDescent="0.4">
      <c r="A24" s="116"/>
      <c r="B24" s="186" t="s">
        <v>53</v>
      </c>
      <c r="C24" s="120" t="s">
        <v>61</v>
      </c>
      <c r="D24" s="25" t="s">
        <v>51</v>
      </c>
      <c r="E24" s="26" t="s">
        <v>93</v>
      </c>
      <c r="F24" s="26" t="s">
        <v>76</v>
      </c>
      <c r="G24" s="26" t="s">
        <v>76</v>
      </c>
      <c r="H24" s="26" t="s">
        <v>78</v>
      </c>
      <c r="I24" s="44"/>
      <c r="J24" s="26"/>
      <c r="K24" s="26" t="s">
        <v>134</v>
      </c>
      <c r="L24" s="26" t="s">
        <v>77</v>
      </c>
      <c r="M24" s="26" t="s">
        <v>136</v>
      </c>
      <c r="N24" s="26" t="s">
        <v>119</v>
      </c>
      <c r="O24" s="26" t="s">
        <v>76</v>
      </c>
      <c r="P24" s="44"/>
      <c r="Q24" s="26"/>
      <c r="R24" s="26" t="s">
        <v>311</v>
      </c>
      <c r="S24" s="29" t="s">
        <v>447</v>
      </c>
      <c r="T24" s="26" t="s">
        <v>300</v>
      </c>
      <c r="U24" s="26" t="s">
        <v>137</v>
      </c>
      <c r="V24" s="126" t="s">
        <v>176</v>
      </c>
      <c r="W24" s="44"/>
      <c r="X24" s="26"/>
      <c r="Y24" s="26" t="s">
        <v>137</v>
      </c>
      <c r="Z24" s="26" t="s">
        <v>143</v>
      </c>
      <c r="AA24" s="26" t="s">
        <v>376</v>
      </c>
      <c r="AB24" s="26" t="s">
        <v>193</v>
      </c>
      <c r="AC24" s="26" t="s">
        <v>139</v>
      </c>
      <c r="AD24" s="44"/>
      <c r="AE24" s="26"/>
      <c r="AF24" s="26" t="s">
        <v>311</v>
      </c>
      <c r="AG24" s="26" t="s">
        <v>179</v>
      </c>
      <c r="AH24" s="26" t="s">
        <v>215</v>
      </c>
      <c r="AI24" s="127"/>
      <c r="AJ24" s="106" t="s">
        <v>282</v>
      </c>
      <c r="AK24" s="194" t="s">
        <v>282</v>
      </c>
      <c r="AL24" s="195">
        <v>1.5</v>
      </c>
      <c r="AM24" s="111">
        <f>(AH24+E24+F24+G24+H24+K24+L24+M24+N24+O24+R24+S24+T24+U24+Y24+Z24+AA24+AB24+AC24+AF24+AG24)/21</f>
        <v>0.35539021164021162</v>
      </c>
      <c r="AN24" s="181">
        <f>(AH25+AG25+AC25+AB25+Z25+Y25+U25+T25+S25+R25+O25+N25+M25+L25+K25+H25+G25+F25+E25)/19</f>
        <v>0.7877558479532164</v>
      </c>
    </row>
    <row r="25" spans="1:40" ht="21.75" customHeight="1" x14ac:dyDescent="0.4">
      <c r="A25" s="116"/>
      <c r="B25" s="186"/>
      <c r="C25" s="120"/>
      <c r="D25" s="25" t="s">
        <v>52</v>
      </c>
      <c r="E25" s="26" t="s">
        <v>154</v>
      </c>
      <c r="F25" s="26" t="s">
        <v>85</v>
      </c>
      <c r="G25" s="26" t="s">
        <v>188</v>
      </c>
      <c r="H25" s="26" t="s">
        <v>157</v>
      </c>
      <c r="I25" s="44"/>
      <c r="J25" s="26"/>
      <c r="K25" s="26" t="s">
        <v>141</v>
      </c>
      <c r="L25" s="26" t="s">
        <v>88</v>
      </c>
      <c r="M25" s="26" t="s">
        <v>80</v>
      </c>
      <c r="N25" s="26" t="s">
        <v>88</v>
      </c>
      <c r="O25" s="26" t="s">
        <v>88</v>
      </c>
      <c r="P25" s="44"/>
      <c r="Q25" s="26"/>
      <c r="R25" s="26" t="s">
        <v>88</v>
      </c>
      <c r="S25" s="26" t="s">
        <v>80</v>
      </c>
      <c r="T25" s="26" t="s">
        <v>102</v>
      </c>
      <c r="U25" s="26" t="s">
        <v>334</v>
      </c>
      <c r="V25" s="126"/>
      <c r="W25" s="44"/>
      <c r="X25" s="26"/>
      <c r="Y25" s="26" t="s">
        <v>84</v>
      </c>
      <c r="Z25" s="26" t="s">
        <v>88</v>
      </c>
      <c r="AA25" s="26" t="s">
        <v>377</v>
      </c>
      <c r="AB25" s="26" t="s">
        <v>131</v>
      </c>
      <c r="AC25" s="26" t="s">
        <v>170</v>
      </c>
      <c r="AD25" s="44"/>
      <c r="AE25" s="26"/>
      <c r="AF25" s="41" t="s">
        <v>279</v>
      </c>
      <c r="AG25" s="26" t="s">
        <v>183</v>
      </c>
      <c r="AH25" s="26" t="s">
        <v>158</v>
      </c>
      <c r="AI25" s="127"/>
      <c r="AJ25" s="106"/>
      <c r="AK25" s="194"/>
      <c r="AL25" s="195"/>
      <c r="AM25" s="111"/>
      <c r="AN25" s="181"/>
    </row>
    <row r="26" spans="1:40" ht="22.5" customHeight="1" x14ac:dyDescent="0.4">
      <c r="A26" s="116"/>
      <c r="B26" s="186" t="s">
        <v>56</v>
      </c>
      <c r="C26" s="120" t="s">
        <v>32</v>
      </c>
      <c r="D26" s="25" t="s">
        <v>51</v>
      </c>
      <c r="E26" s="26" t="s">
        <v>152</v>
      </c>
      <c r="F26" s="26" t="s">
        <v>75</v>
      </c>
      <c r="G26" s="26" t="s">
        <v>72</v>
      </c>
      <c r="H26" s="26" t="s">
        <v>120</v>
      </c>
      <c r="I26" s="44"/>
      <c r="J26" s="26"/>
      <c r="K26" s="26" t="s">
        <v>120</v>
      </c>
      <c r="L26" s="26" t="s">
        <v>152</v>
      </c>
      <c r="M26" s="26" t="s">
        <v>152</v>
      </c>
      <c r="N26" s="26" t="s">
        <v>75</v>
      </c>
      <c r="O26" s="26" t="s">
        <v>93</v>
      </c>
      <c r="P26" s="44"/>
      <c r="Q26" s="26"/>
      <c r="R26" s="126" t="s">
        <v>176</v>
      </c>
      <c r="S26" s="26" t="s">
        <v>73</v>
      </c>
      <c r="T26" s="26" t="s">
        <v>68</v>
      </c>
      <c r="U26" s="26" t="s">
        <v>72</v>
      </c>
      <c r="V26" s="26" t="s">
        <v>72</v>
      </c>
      <c r="W26" s="44"/>
      <c r="X26" s="26"/>
      <c r="Y26" s="26" t="s">
        <v>121</v>
      </c>
      <c r="Z26" s="26" t="s">
        <v>75</v>
      </c>
      <c r="AA26" s="26" t="s">
        <v>75</v>
      </c>
      <c r="AB26" s="26" t="s">
        <v>72</v>
      </c>
      <c r="AC26" s="26" t="s">
        <v>120</v>
      </c>
      <c r="AD26" s="44"/>
      <c r="AE26" s="26"/>
      <c r="AF26" s="26" t="s">
        <v>69</v>
      </c>
      <c r="AG26" s="26" t="s">
        <v>120</v>
      </c>
      <c r="AH26" s="26" t="s">
        <v>121</v>
      </c>
      <c r="AI26" s="112"/>
      <c r="AJ26" s="106"/>
      <c r="AK26" s="194"/>
      <c r="AL26" s="195">
        <v>1</v>
      </c>
      <c r="AM26" s="111">
        <f>(AH26+AG26+AF26+AC26+AB26+AA26+Z26+Y26+V26+U26+T26+S26+O26+N26+M26+L26+K26+H26+G26+F26+E26)/21</f>
        <v>0.3659060846560846</v>
      </c>
      <c r="AN26" s="181">
        <f>(AH27+AG27+AF27+AC27+AB27+Z27+Y27+V27+U27+T27+S27+O27+N27+M27+L27+K27+H27+G27+F27+E27)/20</f>
        <v>0.77520833333333328</v>
      </c>
    </row>
    <row r="27" spans="1:40" ht="21.75" customHeight="1" x14ac:dyDescent="0.4">
      <c r="A27" s="116"/>
      <c r="B27" s="186"/>
      <c r="C27" s="120"/>
      <c r="D27" s="25" t="s">
        <v>52</v>
      </c>
      <c r="E27" s="26" t="s">
        <v>91</v>
      </c>
      <c r="F27" s="26" t="s">
        <v>80</v>
      </c>
      <c r="G27" s="26" t="s">
        <v>170</v>
      </c>
      <c r="H27" s="26" t="s">
        <v>80</v>
      </c>
      <c r="I27" s="44"/>
      <c r="J27" s="26"/>
      <c r="K27" s="26" t="s">
        <v>123</v>
      </c>
      <c r="L27" s="26" t="s">
        <v>88</v>
      </c>
      <c r="M27" s="26" t="s">
        <v>80</v>
      </c>
      <c r="N27" s="26" t="s">
        <v>88</v>
      </c>
      <c r="O27" s="26" t="s">
        <v>101</v>
      </c>
      <c r="P27" s="44"/>
      <c r="Q27" s="26"/>
      <c r="R27" s="126"/>
      <c r="S27" s="26" t="s">
        <v>89</v>
      </c>
      <c r="T27" s="26" t="s">
        <v>85</v>
      </c>
      <c r="U27" s="26" t="s">
        <v>85</v>
      </c>
      <c r="V27" s="26" t="s">
        <v>83</v>
      </c>
      <c r="W27" s="44"/>
      <c r="X27" s="26"/>
      <c r="Y27" s="26" t="s">
        <v>89</v>
      </c>
      <c r="Z27" s="26" t="s">
        <v>88</v>
      </c>
      <c r="AA27" s="26" t="s">
        <v>377</v>
      </c>
      <c r="AB27" s="26" t="s">
        <v>80</v>
      </c>
      <c r="AC27" s="26" t="s">
        <v>101</v>
      </c>
      <c r="AD27" s="44"/>
      <c r="AE27" s="26"/>
      <c r="AF27" s="26" t="s">
        <v>88</v>
      </c>
      <c r="AG27" s="26" t="s">
        <v>85</v>
      </c>
      <c r="AH27" s="26" t="s">
        <v>158</v>
      </c>
      <c r="AI27" s="112"/>
      <c r="AJ27" s="106"/>
      <c r="AK27" s="194"/>
      <c r="AL27" s="195"/>
      <c r="AM27" s="111"/>
      <c r="AN27" s="181"/>
    </row>
    <row r="28" spans="1:40" ht="21.75" customHeight="1" x14ac:dyDescent="0.4">
      <c r="A28" s="116"/>
      <c r="B28" s="186" t="s">
        <v>56</v>
      </c>
      <c r="C28" s="120" t="s">
        <v>63</v>
      </c>
      <c r="D28" s="25" t="s">
        <v>51</v>
      </c>
      <c r="E28" s="26" t="s">
        <v>69</v>
      </c>
      <c r="F28" s="26" t="s">
        <v>134</v>
      </c>
      <c r="G28" s="29" t="s">
        <v>448</v>
      </c>
      <c r="H28" s="26" t="s">
        <v>149</v>
      </c>
      <c r="I28" s="44"/>
      <c r="J28" s="26"/>
      <c r="K28" s="41" t="s">
        <v>279</v>
      </c>
      <c r="L28" s="26" t="s">
        <v>69</v>
      </c>
      <c r="M28" s="26" t="s">
        <v>149</v>
      </c>
      <c r="N28" s="26" t="s">
        <v>152</v>
      </c>
      <c r="O28" s="29" t="s">
        <v>449</v>
      </c>
      <c r="P28" s="44"/>
      <c r="Q28" s="26"/>
      <c r="R28" s="126" t="s">
        <v>176</v>
      </c>
      <c r="S28" s="26" t="s">
        <v>119</v>
      </c>
      <c r="T28" s="26" t="s">
        <v>149</v>
      </c>
      <c r="U28" s="26" t="s">
        <v>122</v>
      </c>
      <c r="V28" s="26" t="s">
        <v>97</v>
      </c>
      <c r="W28" s="44"/>
      <c r="X28" s="26"/>
      <c r="Y28" s="41" t="s">
        <v>279</v>
      </c>
      <c r="Z28" s="26" t="s">
        <v>149</v>
      </c>
      <c r="AA28" s="26" t="s">
        <v>149</v>
      </c>
      <c r="AB28" s="26" t="s">
        <v>149</v>
      </c>
      <c r="AC28" s="26" t="s">
        <v>149</v>
      </c>
      <c r="AD28" s="44"/>
      <c r="AE28" s="26"/>
      <c r="AF28" s="26" t="s">
        <v>149</v>
      </c>
      <c r="AG28" s="26" t="s">
        <v>120</v>
      </c>
      <c r="AH28" s="26" t="s">
        <v>152</v>
      </c>
      <c r="AI28" s="194"/>
      <c r="AJ28" s="106" t="s">
        <v>280</v>
      </c>
      <c r="AK28" s="194" t="s">
        <v>282</v>
      </c>
      <c r="AL28" s="195">
        <v>2.5</v>
      </c>
      <c r="AM28" s="111">
        <f>(AH28+AG28+AF28+AC28+AB28+AA28+Z28+V28+U28+T28+S28+O28+N28+M28+L28+H28+G28+F28+E28)/19</f>
        <v>0.37200292397660811</v>
      </c>
      <c r="AN28" s="181">
        <f>(AH29+AG29+AF29+AC29+AB29+Z29+Y29+V29+U29+T29+S29+O29+N29+M29+L29+K29+H29+G29+F29+E29)/20</f>
        <v>0.78336805555555555</v>
      </c>
    </row>
    <row r="29" spans="1:40" ht="21.75" customHeight="1" x14ac:dyDescent="0.4">
      <c r="A29" s="116"/>
      <c r="B29" s="186"/>
      <c r="C29" s="120"/>
      <c r="D29" s="25" t="s">
        <v>52</v>
      </c>
      <c r="E29" s="26" t="s">
        <v>450</v>
      </c>
      <c r="F29" s="26" t="s">
        <v>141</v>
      </c>
      <c r="G29" s="26" t="s">
        <v>126</v>
      </c>
      <c r="H29" s="26" t="s">
        <v>89</v>
      </c>
      <c r="I29" s="44"/>
      <c r="J29" s="26"/>
      <c r="K29" s="26" t="s">
        <v>92</v>
      </c>
      <c r="L29" s="26" t="s">
        <v>153</v>
      </c>
      <c r="M29" s="26" t="s">
        <v>441</v>
      </c>
      <c r="N29" s="26" t="s">
        <v>80</v>
      </c>
      <c r="O29" s="26" t="s">
        <v>90</v>
      </c>
      <c r="P29" s="44"/>
      <c r="Q29" s="26"/>
      <c r="R29" s="126"/>
      <c r="S29" s="26" t="s">
        <v>343</v>
      </c>
      <c r="T29" s="26" t="s">
        <v>80</v>
      </c>
      <c r="U29" s="26" t="s">
        <v>123</v>
      </c>
      <c r="V29" s="26" t="s">
        <v>83</v>
      </c>
      <c r="W29" s="44"/>
      <c r="X29" s="26"/>
      <c r="Y29" s="26" t="s">
        <v>86</v>
      </c>
      <c r="Z29" s="26" t="s">
        <v>103</v>
      </c>
      <c r="AA29" s="26" t="s">
        <v>377</v>
      </c>
      <c r="AB29" s="26" t="s">
        <v>88</v>
      </c>
      <c r="AC29" s="26" t="s">
        <v>89</v>
      </c>
      <c r="AD29" s="44"/>
      <c r="AE29" s="26"/>
      <c r="AF29" s="26" t="s">
        <v>86</v>
      </c>
      <c r="AG29" s="26" t="s">
        <v>89</v>
      </c>
      <c r="AH29" s="26" t="s">
        <v>312</v>
      </c>
      <c r="AI29" s="194"/>
      <c r="AJ29" s="106"/>
      <c r="AK29" s="194"/>
      <c r="AL29" s="195"/>
      <c r="AM29" s="111"/>
      <c r="AN29" s="181"/>
    </row>
    <row r="30" spans="1:40" ht="21.75" customHeight="1" x14ac:dyDescent="0.4">
      <c r="A30" s="116"/>
      <c r="B30" s="186" t="s">
        <v>56</v>
      </c>
      <c r="C30" s="120" t="s">
        <v>219</v>
      </c>
      <c r="D30" s="25" t="s">
        <v>51</v>
      </c>
      <c r="E30" s="26" t="s">
        <v>137</v>
      </c>
      <c r="F30" s="26" t="s">
        <v>162</v>
      </c>
      <c r="G30" s="26" t="s">
        <v>99</v>
      </c>
      <c r="H30" s="26" t="s">
        <v>120</v>
      </c>
      <c r="I30" s="44"/>
      <c r="J30" s="44"/>
      <c r="K30" s="26" t="s">
        <v>78</v>
      </c>
      <c r="L30" s="26" t="s">
        <v>94</v>
      </c>
      <c r="M30" s="26" t="s">
        <v>134</v>
      </c>
      <c r="N30" s="26" t="s">
        <v>73</v>
      </c>
      <c r="O30" s="26" t="s">
        <v>119</v>
      </c>
      <c r="P30" s="44"/>
      <c r="Q30" s="44"/>
      <c r="R30" s="26" t="s">
        <v>162</v>
      </c>
      <c r="S30" s="26" t="s">
        <v>119</v>
      </c>
      <c r="T30" s="26" t="s">
        <v>162</v>
      </c>
      <c r="U30" s="26" t="s">
        <v>100</v>
      </c>
      <c r="V30" s="26" t="s">
        <v>73</v>
      </c>
      <c r="W30" s="44"/>
      <c r="X30" s="44"/>
      <c r="Y30" s="26" t="s">
        <v>99</v>
      </c>
      <c r="Z30" s="26" t="s">
        <v>137</v>
      </c>
      <c r="AA30" s="26" t="s">
        <v>79</v>
      </c>
      <c r="AB30" s="26" t="s">
        <v>121</v>
      </c>
      <c r="AC30" s="26" t="s">
        <v>93</v>
      </c>
      <c r="AD30" s="44"/>
      <c r="AE30" s="44"/>
      <c r="AF30" s="26" t="s">
        <v>152</v>
      </c>
      <c r="AG30" s="26" t="s">
        <v>73</v>
      </c>
      <c r="AH30" s="26" t="s">
        <v>152</v>
      </c>
      <c r="AI30" s="160"/>
      <c r="AJ30" s="106"/>
      <c r="AK30" s="194"/>
      <c r="AL30" s="195"/>
      <c r="AM30" s="183">
        <f>(E30+F30+G30+H30+K30+L30+M30+N30+O30+R30+S30+T30+U30+V30+Y30+Z30+AA30+AB30+AC30+AF30+AG30+AH30)/22</f>
        <v>0.36341540404040407</v>
      </c>
      <c r="AN30" s="105">
        <f>(E31+F31+G31+H31+K31+L31+M31+N31+O31+R31+S31+T31+U31+V31+Y31+Z31+AB31+AC31+AF31+AG31+AH31)/21</f>
        <v>0.7775793650793652</v>
      </c>
    </row>
    <row r="31" spans="1:40" ht="21.75" customHeight="1" x14ac:dyDescent="0.4">
      <c r="A31" s="117"/>
      <c r="B31" s="186"/>
      <c r="C31" s="120"/>
      <c r="D31" s="25" t="s">
        <v>52</v>
      </c>
      <c r="E31" s="26" t="s">
        <v>158</v>
      </c>
      <c r="F31" s="26" t="s">
        <v>89</v>
      </c>
      <c r="G31" s="26" t="s">
        <v>451</v>
      </c>
      <c r="H31" s="26" t="s">
        <v>312</v>
      </c>
      <c r="I31" s="44"/>
      <c r="J31" s="44"/>
      <c r="K31" s="26" t="s">
        <v>89</v>
      </c>
      <c r="L31" s="26" t="s">
        <v>80</v>
      </c>
      <c r="M31" s="26" t="s">
        <v>85</v>
      </c>
      <c r="N31" s="26" t="s">
        <v>101</v>
      </c>
      <c r="O31" s="26" t="s">
        <v>89</v>
      </c>
      <c r="P31" s="44"/>
      <c r="Q31" s="44"/>
      <c r="R31" s="26" t="s">
        <v>102</v>
      </c>
      <c r="S31" s="26" t="s">
        <v>89</v>
      </c>
      <c r="T31" s="26" t="s">
        <v>123</v>
      </c>
      <c r="U31" s="26" t="s">
        <v>83</v>
      </c>
      <c r="V31" s="26" t="s">
        <v>92</v>
      </c>
      <c r="W31" s="44"/>
      <c r="X31" s="44"/>
      <c r="Y31" s="26" t="s">
        <v>80</v>
      </c>
      <c r="Z31" s="26" t="s">
        <v>102</v>
      </c>
      <c r="AA31" s="26" t="s">
        <v>89</v>
      </c>
      <c r="AB31" s="26" t="s">
        <v>88</v>
      </c>
      <c r="AC31" s="26" t="s">
        <v>90</v>
      </c>
      <c r="AD31" s="44"/>
      <c r="AE31" s="44"/>
      <c r="AF31" s="26" t="s">
        <v>89</v>
      </c>
      <c r="AG31" s="26" t="s">
        <v>89</v>
      </c>
      <c r="AH31" s="26" t="s">
        <v>147</v>
      </c>
      <c r="AI31" s="127"/>
      <c r="AJ31" s="106"/>
      <c r="AK31" s="194"/>
      <c r="AL31" s="195"/>
      <c r="AM31" s="111"/>
      <c r="AN31" s="181"/>
    </row>
    <row r="32" spans="1:40" ht="21.75" customHeight="1" x14ac:dyDescent="0.4">
      <c r="A32" s="117"/>
      <c r="B32" s="186" t="s">
        <v>56</v>
      </c>
      <c r="C32" s="120" t="s">
        <v>242</v>
      </c>
      <c r="D32" s="25" t="s">
        <v>51</v>
      </c>
      <c r="E32" s="26" t="s">
        <v>73</v>
      </c>
      <c r="F32" s="29" t="s">
        <v>387</v>
      </c>
      <c r="G32" s="26" t="s">
        <v>79</v>
      </c>
      <c r="H32" s="26" t="s">
        <v>73</v>
      </c>
      <c r="I32" s="44"/>
      <c r="J32" s="26"/>
      <c r="K32" s="126" t="s">
        <v>176</v>
      </c>
      <c r="L32" s="26" t="s">
        <v>119</v>
      </c>
      <c r="M32" s="26" t="s">
        <v>152</v>
      </c>
      <c r="N32" s="26" t="s">
        <v>72</v>
      </c>
      <c r="O32" s="26" t="s">
        <v>72</v>
      </c>
      <c r="P32" s="44"/>
      <c r="Q32" s="26"/>
      <c r="R32" s="26" t="s">
        <v>75</v>
      </c>
      <c r="S32" s="26" t="s">
        <v>75</v>
      </c>
      <c r="T32" s="26" t="s">
        <v>120</v>
      </c>
      <c r="U32" s="26" t="s">
        <v>75</v>
      </c>
      <c r="V32" s="126" t="s">
        <v>463</v>
      </c>
      <c r="W32" s="44"/>
      <c r="X32" s="26"/>
      <c r="Y32" s="26" t="s">
        <v>69</v>
      </c>
      <c r="Z32" s="26" t="s">
        <v>160</v>
      </c>
      <c r="AA32" s="26" t="s">
        <v>152</v>
      </c>
      <c r="AB32" s="26" t="s">
        <v>121</v>
      </c>
      <c r="AC32" s="26" t="s">
        <v>69</v>
      </c>
      <c r="AD32" s="44"/>
      <c r="AE32" s="26"/>
      <c r="AF32" s="26" t="s">
        <v>69</v>
      </c>
      <c r="AG32" s="26" t="s">
        <v>156</v>
      </c>
      <c r="AH32" s="26" t="s">
        <v>71</v>
      </c>
      <c r="AI32" s="112"/>
      <c r="AJ32" s="106" t="s">
        <v>282</v>
      </c>
      <c r="AK32" s="194"/>
      <c r="AL32" s="195">
        <v>1</v>
      </c>
      <c r="AM32" s="111">
        <f>(E32+F32+G32+H32+L32+M32+N32+O32+R32+S32+T32+U32+Y32+Z32+AA32+AB32+AC32+AF32+AG32+AH32)/20</f>
        <v>0.36701388888888886</v>
      </c>
      <c r="AN32" s="181">
        <f>(AH33+AG33+AF33+AC33+AB33+Z33+Y33+U33+T33+S33+R33+O33+N33+M33+L33+H33+G33+F33+E33)/19</f>
        <v>0.7791301169590642</v>
      </c>
    </row>
    <row r="33" spans="1:40" ht="21.75" customHeight="1" thickBot="1" x14ac:dyDescent="0.45">
      <c r="A33" s="117"/>
      <c r="B33" s="187"/>
      <c r="C33" s="121"/>
      <c r="D33" s="31" t="s">
        <v>52</v>
      </c>
      <c r="E33" s="32" t="s">
        <v>158</v>
      </c>
      <c r="F33" s="32" t="s">
        <v>89</v>
      </c>
      <c r="G33" s="32" t="s">
        <v>87</v>
      </c>
      <c r="H33" s="32" t="s">
        <v>89</v>
      </c>
      <c r="I33" s="45"/>
      <c r="J33" s="32"/>
      <c r="K33" s="126"/>
      <c r="L33" s="32" t="s">
        <v>88</v>
      </c>
      <c r="M33" s="32" t="s">
        <v>289</v>
      </c>
      <c r="N33" s="32" t="s">
        <v>101</v>
      </c>
      <c r="O33" s="32" t="s">
        <v>102</v>
      </c>
      <c r="P33" s="45"/>
      <c r="Q33" s="32"/>
      <c r="R33" s="32" t="s">
        <v>102</v>
      </c>
      <c r="S33" s="32" t="s">
        <v>101</v>
      </c>
      <c r="T33" s="32" t="s">
        <v>89</v>
      </c>
      <c r="U33" s="32" t="s">
        <v>84</v>
      </c>
      <c r="V33" s="126"/>
      <c r="W33" s="45"/>
      <c r="X33" s="32"/>
      <c r="Y33" s="32" t="s">
        <v>80</v>
      </c>
      <c r="Z33" s="32" t="s">
        <v>102</v>
      </c>
      <c r="AA33" s="32" t="s">
        <v>377</v>
      </c>
      <c r="AB33" s="32" t="s">
        <v>151</v>
      </c>
      <c r="AC33" s="32" t="s">
        <v>151</v>
      </c>
      <c r="AD33" s="45"/>
      <c r="AE33" s="32"/>
      <c r="AF33" s="32" t="s">
        <v>89</v>
      </c>
      <c r="AG33" s="32" t="s">
        <v>89</v>
      </c>
      <c r="AH33" s="32" t="s">
        <v>90</v>
      </c>
      <c r="AI33" s="122"/>
      <c r="AJ33" s="167"/>
      <c r="AK33" s="196"/>
      <c r="AL33" s="197"/>
      <c r="AM33" s="188"/>
      <c r="AN33" s="189"/>
    </row>
    <row r="34" spans="1:40" ht="21.75" customHeight="1" x14ac:dyDescent="0.4">
      <c r="A34" s="123" t="s">
        <v>64</v>
      </c>
      <c r="B34" s="190" t="s">
        <v>59</v>
      </c>
      <c r="C34" s="159" t="s">
        <v>65</v>
      </c>
      <c r="D34" s="33" t="s">
        <v>51</v>
      </c>
      <c r="E34" s="34" t="s">
        <v>143</v>
      </c>
      <c r="F34" s="34" t="s">
        <v>142</v>
      </c>
      <c r="G34" s="34" t="s">
        <v>137</v>
      </c>
      <c r="H34" s="34" t="s">
        <v>142</v>
      </c>
      <c r="I34" s="43"/>
      <c r="J34" s="34"/>
      <c r="K34" s="34" t="s">
        <v>100</v>
      </c>
      <c r="L34" s="34" t="s">
        <v>100</v>
      </c>
      <c r="M34" s="34" t="s">
        <v>311</v>
      </c>
      <c r="N34" s="34" t="s">
        <v>134</v>
      </c>
      <c r="O34" s="34" t="s">
        <v>179</v>
      </c>
      <c r="P34" s="43"/>
      <c r="Q34" s="34"/>
      <c r="R34" s="34" t="s">
        <v>143</v>
      </c>
      <c r="S34" s="34" t="s">
        <v>100</v>
      </c>
      <c r="T34" s="34" t="s">
        <v>134</v>
      </c>
      <c r="U34" s="34" t="s">
        <v>143</v>
      </c>
      <c r="V34" s="34" t="s">
        <v>96</v>
      </c>
      <c r="W34" s="43"/>
      <c r="X34" s="34"/>
      <c r="Y34" s="34" t="s">
        <v>311</v>
      </c>
      <c r="Z34" s="34" t="s">
        <v>179</v>
      </c>
      <c r="AA34" s="34" t="s">
        <v>143</v>
      </c>
      <c r="AB34" s="34" t="s">
        <v>134</v>
      </c>
      <c r="AC34" s="34" t="s">
        <v>96</v>
      </c>
      <c r="AD34" s="43"/>
      <c r="AE34" s="34"/>
      <c r="AF34" s="34" t="s">
        <v>143</v>
      </c>
      <c r="AG34" s="34" t="s">
        <v>95</v>
      </c>
      <c r="AH34" s="34" t="s">
        <v>142</v>
      </c>
      <c r="AI34" s="160"/>
      <c r="AJ34" s="166"/>
      <c r="AK34" s="108"/>
      <c r="AL34" s="110"/>
      <c r="AM34" s="183">
        <f>(E34+F34+G34+H34+K34+L34+M34+N34+O34+R34+S34+T34+U34+V34+Y34+Z34+AA34+AB34+AC34+AF34+AG34+AH34)/22</f>
        <v>0.35542929292929304</v>
      </c>
      <c r="AN34" s="203">
        <f>(E35+F35+G35+H35+K35+L35+M35+N35+O35+R35+S35+T35+U35+V35+Y35+Z35+AB35+AC35+AF35+AG35+AH35)/21</f>
        <v>0.8071097883597883</v>
      </c>
    </row>
    <row r="35" spans="1:40" ht="21.75" customHeight="1" x14ac:dyDescent="0.4">
      <c r="A35" s="124"/>
      <c r="B35" s="186"/>
      <c r="C35" s="120"/>
      <c r="D35" s="25" t="s">
        <v>52</v>
      </c>
      <c r="E35" s="26" t="s">
        <v>157</v>
      </c>
      <c r="F35" s="26" t="s">
        <v>144</v>
      </c>
      <c r="G35" s="26" t="s">
        <v>167</v>
      </c>
      <c r="H35" s="26" t="s">
        <v>145</v>
      </c>
      <c r="I35" s="44"/>
      <c r="J35" s="26"/>
      <c r="K35" s="26" t="s">
        <v>307</v>
      </c>
      <c r="L35" s="26" t="s">
        <v>153</v>
      </c>
      <c r="M35" s="26" t="s">
        <v>305</v>
      </c>
      <c r="N35" s="26" t="s">
        <v>145</v>
      </c>
      <c r="O35" s="26" t="s">
        <v>81</v>
      </c>
      <c r="P35" s="44"/>
      <c r="Q35" s="26"/>
      <c r="R35" s="26" t="s">
        <v>178</v>
      </c>
      <c r="S35" s="26" t="s">
        <v>127</v>
      </c>
      <c r="T35" s="26" t="s">
        <v>192</v>
      </c>
      <c r="U35" s="26" t="s">
        <v>153</v>
      </c>
      <c r="V35" s="26" t="s">
        <v>349</v>
      </c>
      <c r="W35" s="44"/>
      <c r="X35" s="26"/>
      <c r="Y35" s="26" t="s">
        <v>452</v>
      </c>
      <c r="Z35" s="26" t="s">
        <v>294</v>
      </c>
      <c r="AA35" s="26" t="s">
        <v>88</v>
      </c>
      <c r="AB35" s="26" t="s">
        <v>178</v>
      </c>
      <c r="AC35" s="26" t="s">
        <v>126</v>
      </c>
      <c r="AD35" s="44"/>
      <c r="AE35" s="26"/>
      <c r="AF35" s="26" t="s">
        <v>366</v>
      </c>
      <c r="AG35" s="26" t="s">
        <v>195</v>
      </c>
      <c r="AH35" s="26" t="s">
        <v>334</v>
      </c>
      <c r="AI35" s="127"/>
      <c r="AJ35" s="106"/>
      <c r="AK35" s="194"/>
      <c r="AL35" s="195"/>
      <c r="AM35" s="111"/>
      <c r="AN35" s="181"/>
    </row>
    <row r="36" spans="1:40" ht="21.75" customHeight="1" x14ac:dyDescent="0.4">
      <c r="A36" s="124"/>
      <c r="B36" s="186" t="s">
        <v>67</v>
      </c>
      <c r="C36" s="120" t="s">
        <v>66</v>
      </c>
      <c r="D36" s="25" t="s">
        <v>51</v>
      </c>
      <c r="E36" s="26" t="s">
        <v>69</v>
      </c>
      <c r="F36" s="26" t="s">
        <v>72</v>
      </c>
      <c r="G36" s="26" t="s">
        <v>93</v>
      </c>
      <c r="H36" s="26" t="s">
        <v>119</v>
      </c>
      <c r="I36" s="44"/>
      <c r="J36" s="26"/>
      <c r="K36" s="26" t="s">
        <v>75</v>
      </c>
      <c r="L36" s="26" t="s">
        <v>74</v>
      </c>
      <c r="M36" s="26" t="s">
        <v>119</v>
      </c>
      <c r="N36" s="26" t="s">
        <v>78</v>
      </c>
      <c r="O36" s="26" t="s">
        <v>74</v>
      </c>
      <c r="P36" s="44"/>
      <c r="Q36" s="26"/>
      <c r="R36" s="26" t="s">
        <v>72</v>
      </c>
      <c r="S36" s="26" t="s">
        <v>76</v>
      </c>
      <c r="T36" s="26" t="s">
        <v>74</v>
      </c>
      <c r="U36" s="26" t="s">
        <v>143</v>
      </c>
      <c r="V36" s="26" t="s">
        <v>78</v>
      </c>
      <c r="W36" s="44"/>
      <c r="X36" s="26"/>
      <c r="Y36" s="26" t="s">
        <v>68</v>
      </c>
      <c r="Z36" s="26" t="s">
        <v>74</v>
      </c>
      <c r="AA36" s="26" t="s">
        <v>74</v>
      </c>
      <c r="AB36" s="26" t="s">
        <v>94</v>
      </c>
      <c r="AC36" s="26" t="s">
        <v>78</v>
      </c>
      <c r="AD36" s="44"/>
      <c r="AE36" s="26"/>
      <c r="AF36" s="26" t="s">
        <v>69</v>
      </c>
      <c r="AG36" s="26" t="s">
        <v>72</v>
      </c>
      <c r="AH36" s="26" t="s">
        <v>78</v>
      </c>
      <c r="AI36" s="112"/>
      <c r="AJ36" s="106"/>
      <c r="AK36" s="194" t="s">
        <v>466</v>
      </c>
      <c r="AL36" s="195"/>
      <c r="AM36" s="183">
        <f>(E36+F36+G36+H36+K36+L36+M36+N36+O36+R36+S36+T36+U36+V36+Y36+Z36+AA36+AB36+AC36+AF36+AG36+AH36)/22</f>
        <v>0.36262626262626263</v>
      </c>
      <c r="AN36" s="105">
        <f>(E37+F37+G37+H37+K37+L37+M37+N37+O37+R37+S37+T37+U37+V37+Y37+Z37+AB37+AC37+AF37+AG37+AH37)/21</f>
        <v>0.84451058201058216</v>
      </c>
    </row>
    <row r="37" spans="1:40" ht="21.75" customHeight="1" x14ac:dyDescent="0.4">
      <c r="A37" s="124"/>
      <c r="B37" s="186"/>
      <c r="C37" s="120"/>
      <c r="D37" s="25" t="s">
        <v>52</v>
      </c>
      <c r="E37" s="26" t="s">
        <v>441</v>
      </c>
      <c r="F37" s="26" t="s">
        <v>441</v>
      </c>
      <c r="G37" s="26" t="s">
        <v>453</v>
      </c>
      <c r="H37" s="26" t="s">
        <v>128</v>
      </c>
      <c r="I37" s="44"/>
      <c r="J37" s="26"/>
      <c r="K37" s="26" t="s">
        <v>199</v>
      </c>
      <c r="L37" s="26" t="s">
        <v>367</v>
      </c>
      <c r="M37" s="26" t="s">
        <v>224</v>
      </c>
      <c r="N37" s="26" t="s">
        <v>148</v>
      </c>
      <c r="O37" s="26" t="s">
        <v>155</v>
      </c>
      <c r="P37" s="44"/>
      <c r="Q37" s="26"/>
      <c r="R37" s="26" t="s">
        <v>454</v>
      </c>
      <c r="S37" s="26" t="s">
        <v>455</v>
      </c>
      <c r="T37" s="26" t="s">
        <v>214</v>
      </c>
      <c r="U37" s="26" t="s">
        <v>203</v>
      </c>
      <c r="V37" s="26" t="s">
        <v>456</v>
      </c>
      <c r="W37" s="44"/>
      <c r="X37" s="26"/>
      <c r="Y37" s="26" t="s">
        <v>155</v>
      </c>
      <c r="Z37" s="26" t="s">
        <v>452</v>
      </c>
      <c r="AA37" s="26" t="s">
        <v>90</v>
      </c>
      <c r="AB37" s="26" t="s">
        <v>457</v>
      </c>
      <c r="AC37" s="26" t="s">
        <v>458</v>
      </c>
      <c r="AD37" s="44"/>
      <c r="AE37" s="26"/>
      <c r="AF37" s="26" t="s">
        <v>457</v>
      </c>
      <c r="AG37" s="26" t="s">
        <v>458</v>
      </c>
      <c r="AH37" s="26" t="s">
        <v>459</v>
      </c>
      <c r="AI37" s="112"/>
      <c r="AJ37" s="106"/>
      <c r="AK37" s="194"/>
      <c r="AL37" s="195"/>
      <c r="AM37" s="111"/>
      <c r="AN37" s="181"/>
    </row>
    <row r="38" spans="1:40" ht="21.75" customHeight="1" x14ac:dyDescent="0.4">
      <c r="A38" s="124"/>
      <c r="B38" s="186" t="s">
        <v>49</v>
      </c>
      <c r="C38" s="120" t="s">
        <v>194</v>
      </c>
      <c r="D38" s="25" t="s">
        <v>51</v>
      </c>
      <c r="E38" s="26" t="s">
        <v>121</v>
      </c>
      <c r="F38" s="26" t="s">
        <v>149</v>
      </c>
      <c r="G38" s="29" t="s">
        <v>163</v>
      </c>
      <c r="H38" s="26" t="s">
        <v>149</v>
      </c>
      <c r="I38" s="44"/>
      <c r="J38" s="26"/>
      <c r="K38" s="26" t="s">
        <v>152</v>
      </c>
      <c r="L38" s="29" t="s">
        <v>163</v>
      </c>
      <c r="M38" s="26" t="s">
        <v>121</v>
      </c>
      <c r="N38" s="26" t="s">
        <v>149</v>
      </c>
      <c r="O38" s="26" t="s">
        <v>122</v>
      </c>
      <c r="P38" s="44"/>
      <c r="Q38" s="26"/>
      <c r="R38" s="26" t="s">
        <v>156</v>
      </c>
      <c r="S38" s="26" t="s">
        <v>156</v>
      </c>
      <c r="T38" s="26" t="s">
        <v>121</v>
      </c>
      <c r="U38" s="26" t="s">
        <v>152</v>
      </c>
      <c r="V38" s="26" t="s">
        <v>75</v>
      </c>
      <c r="W38" s="44"/>
      <c r="X38" s="26"/>
      <c r="Y38" s="26" t="s">
        <v>76</v>
      </c>
      <c r="Z38" s="26" t="s">
        <v>75</v>
      </c>
      <c r="AA38" s="26" t="s">
        <v>72</v>
      </c>
      <c r="AB38" s="26" t="s">
        <v>121</v>
      </c>
      <c r="AC38" s="26" t="s">
        <v>69</v>
      </c>
      <c r="AD38" s="44"/>
      <c r="AE38" s="26"/>
      <c r="AF38" s="26" t="s">
        <v>120</v>
      </c>
      <c r="AG38" s="26" t="s">
        <v>156</v>
      </c>
      <c r="AH38" s="26" t="s">
        <v>68</v>
      </c>
      <c r="AI38" s="112"/>
      <c r="AJ38" s="106" t="s">
        <v>280</v>
      </c>
      <c r="AK38" s="106"/>
      <c r="AL38" s="195">
        <v>0.5</v>
      </c>
      <c r="AM38" s="183">
        <f>(E38+F38+G38+H38+K38+L38+M38+N38+O38+R38+S38+T38+U38+V38+Y38+Z38+AA38+AB38+AC38+AF38+AG38+AH38)/22</f>
        <v>0.36957070707070711</v>
      </c>
      <c r="AN38" s="181">
        <f>(AH39+AG39+AF39+AC39+AB39+Z39+Y39+V39+U39+S39+R39+O39+N39+M39+L39+K39+H39+G39+F39+E39)/20</f>
        <v>0.78468750000000009</v>
      </c>
    </row>
    <row r="39" spans="1:40" ht="21.75" customHeight="1" x14ac:dyDescent="0.4">
      <c r="A39" s="124"/>
      <c r="B39" s="186"/>
      <c r="C39" s="120"/>
      <c r="D39" s="25" t="s">
        <v>52</v>
      </c>
      <c r="E39" s="26" t="s">
        <v>84</v>
      </c>
      <c r="F39" s="26" t="s">
        <v>83</v>
      </c>
      <c r="G39" s="26" t="s">
        <v>114</v>
      </c>
      <c r="H39" s="26" t="s">
        <v>103</v>
      </c>
      <c r="I39" s="44"/>
      <c r="J39" s="26"/>
      <c r="K39" s="26" t="s">
        <v>92</v>
      </c>
      <c r="L39" s="26" t="s">
        <v>83</v>
      </c>
      <c r="M39" s="26" t="s">
        <v>169</v>
      </c>
      <c r="N39" s="26" t="s">
        <v>158</v>
      </c>
      <c r="O39" s="26" t="s">
        <v>85</v>
      </c>
      <c r="P39" s="44"/>
      <c r="Q39" s="26"/>
      <c r="R39" s="26" t="s">
        <v>114</v>
      </c>
      <c r="S39" s="26" t="s">
        <v>98</v>
      </c>
      <c r="T39" s="41" t="s">
        <v>279</v>
      </c>
      <c r="U39" s="26" t="s">
        <v>84</v>
      </c>
      <c r="V39" s="26" t="s">
        <v>103</v>
      </c>
      <c r="W39" s="44"/>
      <c r="X39" s="26"/>
      <c r="Y39" s="26" t="s">
        <v>290</v>
      </c>
      <c r="Z39" s="26" t="s">
        <v>86</v>
      </c>
      <c r="AA39" s="26" t="s">
        <v>460</v>
      </c>
      <c r="AB39" s="26" t="s">
        <v>123</v>
      </c>
      <c r="AC39" s="26" t="s">
        <v>147</v>
      </c>
      <c r="AD39" s="44"/>
      <c r="AE39" s="26"/>
      <c r="AF39" s="26" t="s">
        <v>103</v>
      </c>
      <c r="AG39" s="26" t="s">
        <v>82</v>
      </c>
      <c r="AH39" s="26" t="s">
        <v>166</v>
      </c>
      <c r="AI39" s="112"/>
      <c r="AJ39" s="106"/>
      <c r="AK39" s="106"/>
      <c r="AL39" s="195"/>
      <c r="AM39" s="111"/>
      <c r="AN39" s="181"/>
    </row>
    <row r="40" spans="1:40" ht="21.75" customHeight="1" x14ac:dyDescent="0.4">
      <c r="A40" s="124"/>
      <c r="B40" s="186" t="s">
        <v>53</v>
      </c>
      <c r="C40" s="120" t="s">
        <v>62</v>
      </c>
      <c r="D40" s="25" t="s">
        <v>51</v>
      </c>
      <c r="E40" s="26" t="s">
        <v>72</v>
      </c>
      <c r="F40" s="26" t="s">
        <v>119</v>
      </c>
      <c r="G40" s="26" t="s">
        <v>73</v>
      </c>
      <c r="H40" s="26" t="s">
        <v>75</v>
      </c>
      <c r="I40" s="44"/>
      <c r="J40" s="26"/>
      <c r="K40" s="26" t="s">
        <v>69</v>
      </c>
      <c r="L40" s="26" t="s">
        <v>72</v>
      </c>
      <c r="M40" s="41" t="s">
        <v>279</v>
      </c>
      <c r="N40" s="26" t="s">
        <v>68</v>
      </c>
      <c r="O40" s="26" t="s">
        <v>72</v>
      </c>
      <c r="P40" s="44"/>
      <c r="Q40" s="26"/>
      <c r="R40" s="26" t="s">
        <v>97</v>
      </c>
      <c r="S40" s="26" t="s">
        <v>152</v>
      </c>
      <c r="T40" s="26" t="s">
        <v>156</v>
      </c>
      <c r="U40" s="26" t="s">
        <v>72</v>
      </c>
      <c r="V40" s="26" t="s">
        <v>73</v>
      </c>
      <c r="W40" s="44"/>
      <c r="X40" s="26"/>
      <c r="Y40" s="26" t="s">
        <v>121</v>
      </c>
      <c r="Z40" s="26" t="s">
        <v>72</v>
      </c>
      <c r="AA40" s="126" t="s">
        <v>176</v>
      </c>
      <c r="AB40" s="26" t="s">
        <v>143</v>
      </c>
      <c r="AC40" s="26" t="s">
        <v>121</v>
      </c>
      <c r="AD40" s="44"/>
      <c r="AE40" s="26"/>
      <c r="AF40" s="26" t="s">
        <v>69</v>
      </c>
      <c r="AG40" s="26" t="s">
        <v>152</v>
      </c>
      <c r="AH40" s="26" t="s">
        <v>73</v>
      </c>
      <c r="AI40" s="112"/>
      <c r="AJ40" s="106"/>
      <c r="AK40" s="106"/>
      <c r="AL40" s="195">
        <v>1.5</v>
      </c>
      <c r="AM40" s="111">
        <f>(AH40+AG40+AF40+AC40+AB40+Z40+Y40+V40+U40+T40+S40+R40+O40+N40+L40+K40+H40+G40+F40+E40)/20</f>
        <v>0.36447916666666663</v>
      </c>
      <c r="AN40" s="181">
        <f>(AH41+AG41+AF41+AC41+AB41+Z41+Y41+V41+U41+T41+S41+R41+O41+N41+M41+L41+K41+H41+G41+F41+E41)/21</f>
        <v>0.77384259259259258</v>
      </c>
    </row>
    <row r="41" spans="1:40" ht="21.75" customHeight="1" x14ac:dyDescent="0.4">
      <c r="A41" s="124"/>
      <c r="B41" s="186"/>
      <c r="C41" s="120"/>
      <c r="D41" s="25" t="s">
        <v>52</v>
      </c>
      <c r="E41" s="26" t="s">
        <v>80</v>
      </c>
      <c r="F41" s="26" t="s">
        <v>80</v>
      </c>
      <c r="G41" s="26" t="s">
        <v>101</v>
      </c>
      <c r="H41" s="26" t="s">
        <v>89</v>
      </c>
      <c r="I41" s="44"/>
      <c r="J41" s="26"/>
      <c r="K41" s="26" t="s">
        <v>101</v>
      </c>
      <c r="L41" s="26" t="s">
        <v>80</v>
      </c>
      <c r="M41" s="26" t="s">
        <v>80</v>
      </c>
      <c r="N41" s="26" t="s">
        <v>80</v>
      </c>
      <c r="O41" s="26" t="s">
        <v>80</v>
      </c>
      <c r="P41" s="44"/>
      <c r="Q41" s="26"/>
      <c r="R41" s="26" t="s">
        <v>80</v>
      </c>
      <c r="S41" s="26" t="s">
        <v>86</v>
      </c>
      <c r="T41" s="26" t="s">
        <v>101</v>
      </c>
      <c r="U41" s="26" t="s">
        <v>147</v>
      </c>
      <c r="V41" s="26" t="s">
        <v>101</v>
      </c>
      <c r="W41" s="44"/>
      <c r="X41" s="26"/>
      <c r="Y41" s="26" t="s">
        <v>158</v>
      </c>
      <c r="Z41" s="26" t="s">
        <v>312</v>
      </c>
      <c r="AA41" s="126"/>
      <c r="AB41" s="26" t="s">
        <v>101</v>
      </c>
      <c r="AC41" s="26" t="s">
        <v>312</v>
      </c>
      <c r="AD41" s="44"/>
      <c r="AE41" s="26"/>
      <c r="AF41" s="26" t="s">
        <v>101</v>
      </c>
      <c r="AG41" s="26" t="s">
        <v>312</v>
      </c>
      <c r="AH41" s="26" t="s">
        <v>312</v>
      </c>
      <c r="AI41" s="112"/>
      <c r="AJ41" s="106"/>
      <c r="AK41" s="106"/>
      <c r="AL41" s="195"/>
      <c r="AM41" s="111"/>
      <c r="AN41" s="181"/>
    </row>
    <row r="42" spans="1:40" ht="21.75" customHeight="1" x14ac:dyDescent="0.4">
      <c r="A42" s="124"/>
      <c r="B42" s="186" t="s">
        <v>56</v>
      </c>
      <c r="C42" s="120" t="s">
        <v>210</v>
      </c>
      <c r="D42" s="25" t="s">
        <v>51</v>
      </c>
      <c r="E42" s="26" t="s">
        <v>74</v>
      </c>
      <c r="F42" s="26" t="s">
        <v>77</v>
      </c>
      <c r="G42" s="26" t="s">
        <v>99</v>
      </c>
      <c r="H42" s="26" t="s">
        <v>94</v>
      </c>
      <c r="I42" s="44"/>
      <c r="J42" s="44"/>
      <c r="K42" s="26" t="s">
        <v>134</v>
      </c>
      <c r="L42" s="26" t="s">
        <v>74</v>
      </c>
      <c r="M42" s="26" t="s">
        <v>134</v>
      </c>
      <c r="N42" s="26" t="s">
        <v>93</v>
      </c>
      <c r="O42" s="26" t="s">
        <v>119</v>
      </c>
      <c r="P42" s="44"/>
      <c r="Q42" s="44"/>
      <c r="R42" s="26" t="s">
        <v>74</v>
      </c>
      <c r="S42" s="26" t="s">
        <v>69</v>
      </c>
      <c r="T42" s="126" t="s">
        <v>176</v>
      </c>
      <c r="U42" s="126" t="s">
        <v>176</v>
      </c>
      <c r="V42" s="126" t="s">
        <v>176</v>
      </c>
      <c r="W42" s="44"/>
      <c r="X42" s="44"/>
      <c r="Y42" s="126" t="s">
        <v>176</v>
      </c>
      <c r="Z42" s="126" t="s">
        <v>176</v>
      </c>
      <c r="AA42" s="126" t="s">
        <v>176</v>
      </c>
      <c r="AB42" s="126" t="s">
        <v>412</v>
      </c>
      <c r="AC42" s="26" t="s">
        <v>74</v>
      </c>
      <c r="AD42" s="44"/>
      <c r="AE42" s="44"/>
      <c r="AF42" s="26" t="s">
        <v>74</v>
      </c>
      <c r="AG42" s="26" t="s">
        <v>69</v>
      </c>
      <c r="AH42" s="26" t="s">
        <v>152</v>
      </c>
      <c r="AI42" s="112"/>
      <c r="AJ42" s="106"/>
      <c r="AK42" s="194"/>
      <c r="AL42" s="195">
        <v>6</v>
      </c>
      <c r="AM42" s="111">
        <f>(AH42+AG42+AF42+AC42+S42+R42+O42+N42+M42+L42+K42+H42+G42+F42+E42)/15</f>
        <v>0.36097222222222225</v>
      </c>
      <c r="AN42" s="181">
        <f>(AH43+AG43+AF43+AC43+S43+R43+O43+N43+M43+L43+K43+H43+G43+F43+E43)/15</f>
        <v>0.77356481481481476</v>
      </c>
    </row>
    <row r="43" spans="1:40" ht="21.75" customHeight="1" x14ac:dyDescent="0.4">
      <c r="A43" s="124"/>
      <c r="B43" s="186"/>
      <c r="C43" s="120"/>
      <c r="D43" s="25" t="s">
        <v>52</v>
      </c>
      <c r="E43" s="26" t="s">
        <v>80</v>
      </c>
      <c r="F43" s="26" t="s">
        <v>89</v>
      </c>
      <c r="G43" s="26" t="s">
        <v>101</v>
      </c>
      <c r="H43" s="26" t="s">
        <v>123</v>
      </c>
      <c r="I43" s="44"/>
      <c r="J43" s="44"/>
      <c r="K43" s="26" t="s">
        <v>103</v>
      </c>
      <c r="L43" s="26" t="s">
        <v>80</v>
      </c>
      <c r="M43" s="26" t="s">
        <v>80</v>
      </c>
      <c r="N43" s="26" t="s">
        <v>89</v>
      </c>
      <c r="O43" s="26" t="s">
        <v>101</v>
      </c>
      <c r="P43" s="44"/>
      <c r="Q43" s="44"/>
      <c r="R43" s="26" t="s">
        <v>101</v>
      </c>
      <c r="S43" s="26" t="s">
        <v>80</v>
      </c>
      <c r="T43" s="126"/>
      <c r="U43" s="126"/>
      <c r="V43" s="126"/>
      <c r="W43" s="44"/>
      <c r="X43" s="44"/>
      <c r="Y43" s="126"/>
      <c r="Z43" s="126"/>
      <c r="AA43" s="126"/>
      <c r="AB43" s="126"/>
      <c r="AC43" s="26" t="s">
        <v>80</v>
      </c>
      <c r="AD43" s="44"/>
      <c r="AE43" s="44"/>
      <c r="AF43" s="26" t="s">
        <v>80</v>
      </c>
      <c r="AG43" s="26" t="s">
        <v>91</v>
      </c>
      <c r="AH43" s="26" t="s">
        <v>312</v>
      </c>
      <c r="AI43" s="112"/>
      <c r="AJ43" s="106"/>
      <c r="AK43" s="194"/>
      <c r="AL43" s="195"/>
      <c r="AM43" s="111"/>
      <c r="AN43" s="181"/>
    </row>
    <row r="44" spans="1:40" ht="21.75" customHeight="1" x14ac:dyDescent="0.4">
      <c r="A44" s="124"/>
      <c r="B44" s="186" t="s">
        <v>56</v>
      </c>
      <c r="C44" s="120" t="s">
        <v>227</v>
      </c>
      <c r="D44" s="25" t="s">
        <v>51</v>
      </c>
      <c r="E44" s="26" t="s">
        <v>120</v>
      </c>
      <c r="F44" s="126" t="s">
        <v>176</v>
      </c>
      <c r="G44" s="26" t="s">
        <v>156</v>
      </c>
      <c r="H44" s="26" t="s">
        <v>156</v>
      </c>
      <c r="I44" s="44"/>
      <c r="J44" s="26"/>
      <c r="K44" s="26" t="s">
        <v>120</v>
      </c>
      <c r="L44" s="26" t="s">
        <v>120</v>
      </c>
      <c r="M44" s="26" t="s">
        <v>120</v>
      </c>
      <c r="N44" s="26" t="s">
        <v>156</v>
      </c>
      <c r="O44" s="26" t="s">
        <v>121</v>
      </c>
      <c r="P44" s="44"/>
      <c r="Q44" s="26"/>
      <c r="R44" s="26" t="s">
        <v>156</v>
      </c>
      <c r="S44" s="26" t="s">
        <v>120</v>
      </c>
      <c r="T44" s="26" t="s">
        <v>68</v>
      </c>
      <c r="U44" s="26" t="s">
        <v>156</v>
      </c>
      <c r="V44" s="26" t="s">
        <v>79</v>
      </c>
      <c r="W44" s="44"/>
      <c r="X44" s="26"/>
      <c r="Y44" s="26" t="s">
        <v>149</v>
      </c>
      <c r="Z44" s="26" t="s">
        <v>71</v>
      </c>
      <c r="AA44" s="26" t="s">
        <v>156</v>
      </c>
      <c r="AB44" s="26" t="s">
        <v>135</v>
      </c>
      <c r="AC44" s="26" t="s">
        <v>121</v>
      </c>
      <c r="AD44" s="44"/>
      <c r="AE44" s="26"/>
      <c r="AF44" s="26" t="s">
        <v>135</v>
      </c>
      <c r="AG44" s="26" t="s">
        <v>149</v>
      </c>
      <c r="AH44" s="26" t="s">
        <v>156</v>
      </c>
      <c r="AI44" s="112"/>
      <c r="AJ44" s="106"/>
      <c r="AK44" s="194"/>
      <c r="AL44" s="195">
        <v>1.5</v>
      </c>
      <c r="AM44" s="111">
        <f>(AH44+AG44+AF44+AC44+AB44+AA44+Z44+Y44+V44+U44+T44+S44+R44+O44+N44+M44+L44+K44+H44+G44+E44)/21</f>
        <v>0.37010582010582016</v>
      </c>
      <c r="AN44" s="181">
        <f>(AH45+AG45+AF45+AB45+Z45+Y45+V45+U45+T45+S45+R45+O45+N45+M45+L45+K45+H45+G45+E45)/19</f>
        <v>0.7750365497076025</v>
      </c>
    </row>
    <row r="45" spans="1:40" ht="21.75" customHeight="1" x14ac:dyDescent="0.4">
      <c r="A45" s="124"/>
      <c r="B45" s="186"/>
      <c r="C45" s="120"/>
      <c r="D45" s="25" t="s">
        <v>52</v>
      </c>
      <c r="E45" s="26" t="s">
        <v>90</v>
      </c>
      <c r="F45" s="126"/>
      <c r="G45" s="26" t="s">
        <v>92</v>
      </c>
      <c r="H45" s="26" t="s">
        <v>85</v>
      </c>
      <c r="I45" s="44"/>
      <c r="J45" s="26"/>
      <c r="K45" s="26" t="s">
        <v>102</v>
      </c>
      <c r="L45" s="26" t="s">
        <v>85</v>
      </c>
      <c r="M45" s="26" t="s">
        <v>85</v>
      </c>
      <c r="N45" s="26" t="s">
        <v>85</v>
      </c>
      <c r="O45" s="26" t="s">
        <v>83</v>
      </c>
      <c r="P45" s="44"/>
      <c r="Q45" s="26"/>
      <c r="R45" s="26" t="s">
        <v>101</v>
      </c>
      <c r="S45" s="26" t="s">
        <v>80</v>
      </c>
      <c r="T45" s="26" t="s">
        <v>80</v>
      </c>
      <c r="U45" s="26" t="s">
        <v>80</v>
      </c>
      <c r="V45" s="26" t="s">
        <v>80</v>
      </c>
      <c r="W45" s="44"/>
      <c r="X45" s="26"/>
      <c r="Y45" s="26" t="s">
        <v>309</v>
      </c>
      <c r="Z45" s="26" t="s">
        <v>80</v>
      </c>
      <c r="AA45" s="26" t="s">
        <v>461</v>
      </c>
      <c r="AB45" s="26" t="s">
        <v>80</v>
      </c>
      <c r="AC45" s="41" t="s">
        <v>279</v>
      </c>
      <c r="AD45" s="44"/>
      <c r="AE45" s="26"/>
      <c r="AF45" s="26" t="s">
        <v>89</v>
      </c>
      <c r="AG45" s="26" t="s">
        <v>85</v>
      </c>
      <c r="AH45" s="26" t="s">
        <v>158</v>
      </c>
      <c r="AI45" s="112"/>
      <c r="AJ45" s="106"/>
      <c r="AK45" s="194"/>
      <c r="AL45" s="195"/>
      <c r="AM45" s="111"/>
      <c r="AN45" s="181"/>
    </row>
    <row r="46" spans="1:40" ht="21.75" customHeight="1" x14ac:dyDescent="0.4">
      <c r="A46" s="124"/>
      <c r="B46" s="190" t="s">
        <v>56</v>
      </c>
      <c r="C46" s="120" t="s">
        <v>423</v>
      </c>
      <c r="D46" s="25" t="s">
        <v>51</v>
      </c>
      <c r="E46" s="206" t="s">
        <v>70</v>
      </c>
      <c r="F46" s="207"/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8"/>
      <c r="S46" s="26" t="s">
        <v>160</v>
      </c>
      <c r="T46" s="26" t="s">
        <v>120</v>
      </c>
      <c r="U46" s="26" t="s">
        <v>462</v>
      </c>
      <c r="V46" s="29" t="s">
        <v>163</v>
      </c>
      <c r="W46" s="44"/>
      <c r="X46" s="26"/>
      <c r="Y46" s="26" t="s">
        <v>120</v>
      </c>
      <c r="Z46" s="26" t="s">
        <v>160</v>
      </c>
      <c r="AA46" s="26" t="s">
        <v>74</v>
      </c>
      <c r="AB46" s="26" t="s">
        <v>160</v>
      </c>
      <c r="AC46" s="26" t="s">
        <v>72</v>
      </c>
      <c r="AD46" s="44"/>
      <c r="AE46" s="26"/>
      <c r="AF46" s="26" t="s">
        <v>76</v>
      </c>
      <c r="AG46" s="29" t="s">
        <v>163</v>
      </c>
      <c r="AH46" s="26" t="s">
        <v>68</v>
      </c>
      <c r="AI46" s="127">
        <v>1</v>
      </c>
      <c r="AJ46" s="106" t="s">
        <v>280</v>
      </c>
      <c r="AK46" s="194"/>
      <c r="AL46" s="195"/>
      <c r="AM46" s="111">
        <f>(S46+T46+U46+V46+Y46+Z46+AA46+AB46+AC46+AF46+AG46+AH46)/12</f>
        <v>0.3649884259259259</v>
      </c>
      <c r="AN46" s="181">
        <f>(S47+T47+U47+V47+Y47+Z47+AB47+AC47+AF47+AG47+AH47)/11</f>
        <v>0.77556818181818177</v>
      </c>
    </row>
    <row r="47" spans="1:40" ht="21.75" customHeight="1" thickBot="1" x14ac:dyDescent="0.45">
      <c r="A47" s="125"/>
      <c r="B47" s="187"/>
      <c r="C47" s="121"/>
      <c r="D47" s="31" t="s">
        <v>52</v>
      </c>
      <c r="E47" s="212"/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4"/>
      <c r="S47" s="32" t="s">
        <v>85</v>
      </c>
      <c r="T47" s="32" t="s">
        <v>101</v>
      </c>
      <c r="U47" s="32" t="s">
        <v>83</v>
      </c>
      <c r="V47" s="32" t="s">
        <v>101</v>
      </c>
      <c r="W47" s="45"/>
      <c r="X47" s="32"/>
      <c r="Y47" s="32" t="s">
        <v>158</v>
      </c>
      <c r="Z47" s="32" t="s">
        <v>102</v>
      </c>
      <c r="AA47" s="32" t="s">
        <v>377</v>
      </c>
      <c r="AB47" s="32" t="s">
        <v>89</v>
      </c>
      <c r="AC47" s="32" t="s">
        <v>89</v>
      </c>
      <c r="AD47" s="45"/>
      <c r="AE47" s="32"/>
      <c r="AF47" s="32" t="s">
        <v>85</v>
      </c>
      <c r="AG47" s="32" t="s">
        <v>89</v>
      </c>
      <c r="AH47" s="32" t="s">
        <v>86</v>
      </c>
      <c r="AI47" s="215"/>
      <c r="AJ47" s="167"/>
      <c r="AK47" s="196"/>
      <c r="AL47" s="197"/>
      <c r="AM47" s="188"/>
      <c r="AN47" s="189"/>
    </row>
    <row r="48" spans="1:40" x14ac:dyDescent="0.4">
      <c r="AL48" s="36">
        <f>SUM(AL4:AL47)</f>
        <v>18</v>
      </c>
    </row>
  </sheetData>
  <mergeCells count="211">
    <mergeCell ref="A1:C1"/>
    <mergeCell ref="D1:I1"/>
    <mergeCell ref="A2:A3"/>
    <mergeCell ref="B2:B3"/>
    <mergeCell ref="C2:C3"/>
    <mergeCell ref="AI2:AI3"/>
    <mergeCell ref="AJ2:AJ3"/>
    <mergeCell ref="AK2:AK3"/>
    <mergeCell ref="AL2:AL3"/>
    <mergeCell ref="AM2:AM3"/>
    <mergeCell ref="AN2:AN3"/>
    <mergeCell ref="A4:A15"/>
    <mergeCell ref="B4:B5"/>
    <mergeCell ref="C4:C5"/>
    <mergeCell ref="AI4:AI5"/>
    <mergeCell ref="AJ4:AJ5"/>
    <mergeCell ref="AK4:AK5"/>
    <mergeCell ref="AL4:AL5"/>
    <mergeCell ref="AM4:AM5"/>
    <mergeCell ref="AN4:AN5"/>
    <mergeCell ref="B8:B9"/>
    <mergeCell ref="C8:C9"/>
    <mergeCell ref="AI8:AI9"/>
    <mergeCell ref="AJ8:AJ9"/>
    <mergeCell ref="AK8:AK9"/>
    <mergeCell ref="AL8:AL9"/>
    <mergeCell ref="AM8:AM9"/>
    <mergeCell ref="AN8:AN9"/>
    <mergeCell ref="B10:B11"/>
    <mergeCell ref="C10:C11"/>
    <mergeCell ref="AI10:AI11"/>
    <mergeCell ref="AJ10:AJ11"/>
    <mergeCell ref="AK10:AK11"/>
    <mergeCell ref="AL12:AL13"/>
    <mergeCell ref="AM12:AM13"/>
    <mergeCell ref="AN12:AN13"/>
    <mergeCell ref="B14:B15"/>
    <mergeCell ref="C14:C15"/>
    <mergeCell ref="AI14:AI15"/>
    <mergeCell ref="AJ14:AJ15"/>
    <mergeCell ref="AK14:AK15"/>
    <mergeCell ref="AL10:AL11"/>
    <mergeCell ref="AM10:AM11"/>
    <mergeCell ref="AN10:AN11"/>
    <mergeCell ref="B12:B13"/>
    <mergeCell ref="C12:C13"/>
    <mergeCell ref="AI12:AI13"/>
    <mergeCell ref="AJ12:AJ13"/>
    <mergeCell ref="AK12:AK13"/>
    <mergeCell ref="AL14:AL15"/>
    <mergeCell ref="AM14:AM15"/>
    <mergeCell ref="AN14:AN15"/>
    <mergeCell ref="B16:B17"/>
    <mergeCell ref="C16:C17"/>
    <mergeCell ref="AI16:AI17"/>
    <mergeCell ref="AJ16:AJ17"/>
    <mergeCell ref="AK16:AK17"/>
    <mergeCell ref="AL16:AL17"/>
    <mergeCell ref="AM16:AM17"/>
    <mergeCell ref="AN16:AN17"/>
    <mergeCell ref="B20:B21"/>
    <mergeCell ref="C20:C21"/>
    <mergeCell ref="AI20:AI21"/>
    <mergeCell ref="AJ20:AJ21"/>
    <mergeCell ref="AK20:AK21"/>
    <mergeCell ref="AL20:AL21"/>
    <mergeCell ref="AM20:AM21"/>
    <mergeCell ref="AN20:AN21"/>
    <mergeCell ref="A22:A33"/>
    <mergeCell ref="B22:B23"/>
    <mergeCell ref="C22:C23"/>
    <mergeCell ref="AI22:AI23"/>
    <mergeCell ref="AJ22:AJ23"/>
    <mergeCell ref="AK22:AK23"/>
    <mergeCell ref="AL22:AL23"/>
    <mergeCell ref="AM22:AM23"/>
    <mergeCell ref="AN22:AN23"/>
    <mergeCell ref="AM24:AM25"/>
    <mergeCell ref="AN24:AN25"/>
    <mergeCell ref="B26:B27"/>
    <mergeCell ref="C26:C27"/>
    <mergeCell ref="AI26:AI27"/>
    <mergeCell ref="AJ26:AJ27"/>
    <mergeCell ref="AK26:AK27"/>
    <mergeCell ref="AL26:AL27"/>
    <mergeCell ref="AM26:AM27"/>
    <mergeCell ref="B24:B25"/>
    <mergeCell ref="C24:C25"/>
    <mergeCell ref="AI24:AI25"/>
    <mergeCell ref="AJ24:AJ25"/>
    <mergeCell ref="AK24:AK25"/>
    <mergeCell ref="AL24:AL25"/>
    <mergeCell ref="AN26:AN27"/>
    <mergeCell ref="B28:B29"/>
    <mergeCell ref="C28:C29"/>
    <mergeCell ref="AI28:AI29"/>
    <mergeCell ref="AJ28:AJ29"/>
    <mergeCell ref="AK28:AK29"/>
    <mergeCell ref="AL28:AL29"/>
    <mergeCell ref="AM28:AM29"/>
    <mergeCell ref="AN28:AN29"/>
    <mergeCell ref="AN30:AN31"/>
    <mergeCell ref="B32:B33"/>
    <mergeCell ref="C32:C33"/>
    <mergeCell ref="AI32:AI33"/>
    <mergeCell ref="AJ32:AJ33"/>
    <mergeCell ref="AK32:AK33"/>
    <mergeCell ref="AL32:AL33"/>
    <mergeCell ref="B30:B31"/>
    <mergeCell ref="C30:C31"/>
    <mergeCell ref="AI30:AI31"/>
    <mergeCell ref="AJ30:AJ31"/>
    <mergeCell ref="AK30:AK31"/>
    <mergeCell ref="A34:A47"/>
    <mergeCell ref="B34:B35"/>
    <mergeCell ref="C34:C35"/>
    <mergeCell ref="AI34:AI35"/>
    <mergeCell ref="AJ34:AJ35"/>
    <mergeCell ref="AK34:AK35"/>
    <mergeCell ref="AL34:AL35"/>
    <mergeCell ref="AL30:AL31"/>
    <mergeCell ref="AM30:AM31"/>
    <mergeCell ref="AM34:AM35"/>
    <mergeCell ref="B40:B41"/>
    <mergeCell ref="C40:C41"/>
    <mergeCell ref="AI40:AI41"/>
    <mergeCell ref="AJ40:AJ41"/>
    <mergeCell ref="AK40:AK41"/>
    <mergeCell ref="AA40:AA41"/>
    <mergeCell ref="B38:B39"/>
    <mergeCell ref="C38:C39"/>
    <mergeCell ref="AI38:AI39"/>
    <mergeCell ref="AJ38:AJ39"/>
    <mergeCell ref="AK38:AK39"/>
    <mergeCell ref="AL38:AL39"/>
    <mergeCell ref="AM38:AM39"/>
    <mergeCell ref="AJ42:AJ43"/>
    <mergeCell ref="AN34:AN35"/>
    <mergeCell ref="B36:B37"/>
    <mergeCell ref="C36:C37"/>
    <mergeCell ref="AI36:AI37"/>
    <mergeCell ref="AJ36:AJ37"/>
    <mergeCell ref="AK36:AK37"/>
    <mergeCell ref="AL36:AL37"/>
    <mergeCell ref="AM32:AM33"/>
    <mergeCell ref="AN32:AN33"/>
    <mergeCell ref="AM36:AM37"/>
    <mergeCell ref="AN36:AN37"/>
    <mergeCell ref="AN38:AN39"/>
    <mergeCell ref="E46:R47"/>
    <mergeCell ref="AN46:AN47"/>
    <mergeCell ref="B44:B45"/>
    <mergeCell ref="C44:C45"/>
    <mergeCell ref="B6:B7"/>
    <mergeCell ref="C6:C7"/>
    <mergeCell ref="B18:B19"/>
    <mergeCell ref="C18:C19"/>
    <mergeCell ref="AM42:AM43"/>
    <mergeCell ref="AN42:AN43"/>
    <mergeCell ref="B46:B47"/>
    <mergeCell ref="C46:C47"/>
    <mergeCell ref="AI46:AI47"/>
    <mergeCell ref="AJ46:AJ47"/>
    <mergeCell ref="AK46:AK47"/>
    <mergeCell ref="AL46:AL47"/>
    <mergeCell ref="AM46:AM47"/>
    <mergeCell ref="AL40:AL41"/>
    <mergeCell ref="AM40:AM41"/>
    <mergeCell ref="AN40:AN41"/>
    <mergeCell ref="B42:B43"/>
    <mergeCell ref="C42:C43"/>
    <mergeCell ref="AI42:AI43"/>
    <mergeCell ref="AN44:AN45"/>
    <mergeCell ref="AI44:AI45"/>
    <mergeCell ref="AJ44:AJ45"/>
    <mergeCell ref="AK44:AK45"/>
    <mergeCell ref="AL44:AL45"/>
    <mergeCell ref="E6:L7"/>
    <mergeCell ref="U8:U9"/>
    <mergeCell ref="E18:U19"/>
    <mergeCell ref="AN6:AN7"/>
    <mergeCell ref="AM18:AM19"/>
    <mergeCell ref="AN18:AN19"/>
    <mergeCell ref="AI18:AI19"/>
    <mergeCell ref="AJ18:AJ19"/>
    <mergeCell ref="AK18:AK19"/>
    <mergeCell ref="AL18:AL19"/>
    <mergeCell ref="AI6:AI7"/>
    <mergeCell ref="AJ6:AJ7"/>
    <mergeCell ref="AK6:AK7"/>
    <mergeCell ref="AM6:AM7"/>
    <mergeCell ref="AL6:AL7"/>
    <mergeCell ref="AM44:AM45"/>
    <mergeCell ref="N20:AH21"/>
    <mergeCell ref="AK42:AK43"/>
    <mergeCell ref="AL42:AL43"/>
    <mergeCell ref="Y42:Y43"/>
    <mergeCell ref="Z42:Z43"/>
    <mergeCell ref="AA42:AA43"/>
    <mergeCell ref="AB42:AB43"/>
    <mergeCell ref="V32:V33"/>
    <mergeCell ref="K32:K33"/>
    <mergeCell ref="F44:F45"/>
    <mergeCell ref="R10:R11"/>
    <mergeCell ref="R26:R27"/>
    <mergeCell ref="R28:R29"/>
    <mergeCell ref="S16:S17"/>
    <mergeCell ref="V24:V25"/>
    <mergeCell ref="T42:T43"/>
    <mergeCell ref="U42:U43"/>
    <mergeCell ref="V42:V43"/>
  </mergeCells>
  <phoneticPr fontId="5" type="noConversion"/>
  <conditionalFormatting sqref="E4:E6">
    <cfRule type="expression" dxfId="731" priority="206">
      <formula>OR(WEEKDAY(E$3)=7,WEEKDAY(E$3)=1)</formula>
    </cfRule>
  </conditionalFormatting>
  <conditionalFormatting sqref="E8:E18">
    <cfRule type="expression" dxfId="730" priority="5">
      <formula>OR(WEEKDAY(E$3)=7,WEEKDAY(E$3)=1)</formula>
    </cfRule>
  </conditionalFormatting>
  <conditionalFormatting sqref="E20:E41">
    <cfRule type="expression" dxfId="729" priority="192">
      <formula>OR(WEEKDAY(E$3)=7,WEEKDAY(E$3)=1)</formula>
    </cfRule>
  </conditionalFormatting>
  <conditionalFormatting sqref="E43:E46">
    <cfRule type="expression" dxfId="728" priority="11">
      <formula>OR(WEEKDAY(E$3)=7,WEEKDAY(E$3)=1)</formula>
    </cfRule>
  </conditionalFormatting>
  <conditionalFormatting sqref="E2:AH3 AF22:AH24 K34:K35 N34:O35 U34:V35 Y34:Y35 AB34:AC35 AF34:AH35">
    <cfRule type="expression" dxfId="727" priority="373">
      <formula>OR(WEEKDAY(E$3)=7,WEEKDAY(E$3)=1)</formula>
    </cfRule>
  </conditionalFormatting>
  <conditionalFormatting sqref="E3:AH3">
    <cfRule type="expression" dxfId="726" priority="383">
      <formula>WEEKDAY(E3)=7</formula>
    </cfRule>
    <cfRule type="expression" dxfId="725" priority="382">
      <formula>WEEKDAY(E3)=1</formula>
    </cfRule>
  </conditionalFormatting>
  <conditionalFormatting sqref="F24:F29">
    <cfRule type="expression" dxfId="724" priority="355">
      <formula>OR(WEEKDAY(F$3)=7,WEEKDAY(F$3)=1)</formula>
    </cfRule>
  </conditionalFormatting>
  <conditionalFormatting sqref="F31:F33">
    <cfRule type="expression" dxfId="723" priority="201">
      <formula>OR(WEEKDAY(F$3)=7,WEEKDAY(F$3)=1)</formula>
    </cfRule>
  </conditionalFormatting>
  <conditionalFormatting sqref="F35:F44">
    <cfRule type="expression" dxfId="722" priority="37">
      <formula>OR(WEEKDAY(F$3)=7,WEEKDAY(F$3)=1)</formula>
    </cfRule>
  </conditionalFormatting>
  <conditionalFormatting sqref="F4:G5">
    <cfRule type="expression" dxfId="721" priority="190">
      <formula>OR(WEEKDAY(F$3)=7,WEEKDAY(F$3)=1)</formula>
    </cfRule>
  </conditionalFormatting>
  <conditionalFormatting sqref="F8:G17">
    <cfRule type="expression" dxfId="720" priority="3">
      <formula>OR(WEEKDAY(F$3)=7,WEEKDAY(F$3)=1)</formula>
    </cfRule>
  </conditionalFormatting>
  <conditionalFormatting sqref="F20:G21">
    <cfRule type="expression" dxfId="719" priority="191">
      <formula>OR(WEEKDAY(F$3)=7,WEEKDAY(F$3)=1)</formula>
    </cfRule>
  </conditionalFormatting>
  <conditionalFormatting sqref="F22:H23">
    <cfRule type="expression" dxfId="718" priority="369">
      <formula>OR(WEEKDAY(F$3)=7,WEEKDAY(F$3)=1)</formula>
    </cfRule>
  </conditionalFormatting>
  <conditionalFormatting sqref="F34:H34">
    <cfRule type="expression" dxfId="717" priority="381">
      <formula>OR(WEEKDAY(F$3)=7,WEEKDAY(F$3)=1)</formula>
    </cfRule>
  </conditionalFormatting>
  <conditionalFormatting sqref="G24:H25">
    <cfRule type="expression" dxfId="716" priority="372">
      <formula>OR(WEEKDAY(G$3)=7,WEEKDAY(G$3)=1)</formula>
    </cfRule>
  </conditionalFormatting>
  <conditionalFormatting sqref="G35:H35">
    <cfRule type="expression" dxfId="715" priority="379">
      <formula>OR(WEEKDAY(G$3)=7,WEEKDAY(G$3)=1)</formula>
    </cfRule>
  </conditionalFormatting>
  <conditionalFormatting sqref="H4">
    <cfRule type="expression" dxfId="714" priority="366">
      <formula>OR(WEEKDAY(H$3)=7,WEEKDAY(H$3)=1)</formula>
    </cfRule>
  </conditionalFormatting>
  <conditionalFormatting sqref="H8:H9">
    <cfRule type="expression" dxfId="713" priority="75">
      <formula>OR(WEEKDAY(H$3)=7,WEEKDAY(H$3)=1)</formula>
    </cfRule>
  </conditionalFormatting>
  <conditionalFormatting sqref="H27">
    <cfRule type="expression" dxfId="712" priority="22">
      <formula>OR(WEEKDAY(H$3)=7,WEEKDAY(H$3)=1)</formula>
    </cfRule>
  </conditionalFormatting>
  <conditionalFormatting sqref="H31">
    <cfRule type="expression" dxfId="711" priority="2">
      <formula>OR(WEEKDAY(H$3)=7,WEEKDAY(H$3)=1)</formula>
    </cfRule>
  </conditionalFormatting>
  <conditionalFormatting sqref="I8:J17">
    <cfRule type="expression" dxfId="710" priority="152">
      <formula>OR(WEEKDAY(I$3)=7,WEEKDAY(I$3)=1)</formula>
    </cfRule>
  </conditionalFormatting>
  <conditionalFormatting sqref="I20:J45">
    <cfRule type="expression" dxfId="709" priority="92">
      <formula>OR(WEEKDAY(I$3)=7,WEEKDAY(I$3)=1)</formula>
    </cfRule>
  </conditionalFormatting>
  <conditionalFormatting sqref="I4:L5">
    <cfRule type="expression" dxfId="708" priority="6">
      <formula>OR(WEEKDAY(I$3)=7,WEEKDAY(I$3)=1)</formula>
    </cfRule>
  </conditionalFormatting>
  <conditionalFormatting sqref="K8:K9">
    <cfRule type="expression" dxfId="707" priority="358">
      <formula>OR(WEEKDAY(K$3)=7,WEEKDAY(K$3)=1)</formula>
    </cfRule>
  </conditionalFormatting>
  <conditionalFormatting sqref="K31:K32">
    <cfRule type="expression" dxfId="706" priority="38">
      <formula>OR(WEEKDAY(K$3)=7,WEEKDAY(K$3)=1)</formula>
    </cfRule>
  </conditionalFormatting>
  <conditionalFormatting sqref="K42">
    <cfRule type="expression" dxfId="705" priority="1">
      <formula>OR(WEEKDAY(K$3)=7,WEEKDAY(K$3)=1)</formula>
    </cfRule>
  </conditionalFormatting>
  <conditionalFormatting sqref="K28:L28">
    <cfRule type="expression" dxfId="704" priority="68">
      <formula>OR(WEEKDAY(K$3)=7,WEEKDAY(K$3)=1)</formula>
    </cfRule>
  </conditionalFormatting>
  <conditionalFormatting sqref="K22:O25">
    <cfRule type="expression" dxfId="703" priority="230">
      <formula>OR(WEEKDAY(K$3)=7,WEEKDAY(K$3)=1)</formula>
    </cfRule>
  </conditionalFormatting>
  <conditionalFormatting sqref="L8:L17">
    <cfRule type="expression" dxfId="702" priority="289">
      <formula>OR(WEEKDAY(L$3)=7,WEEKDAY(L$3)=1)</formula>
    </cfRule>
  </conditionalFormatting>
  <conditionalFormatting sqref="L35:L41">
    <cfRule type="expression" dxfId="701" priority="36">
      <formula>OR(WEEKDAY(L$3)=7,WEEKDAY(L$3)=1)</formula>
    </cfRule>
  </conditionalFormatting>
  <conditionalFormatting sqref="L26:M27">
    <cfRule type="expression" dxfId="700" priority="20">
      <formula>OR(WEEKDAY(L$3)=7,WEEKDAY(L$3)=1)</formula>
    </cfRule>
  </conditionalFormatting>
  <conditionalFormatting sqref="L30:M34">
    <cfRule type="expression" dxfId="699" priority="268">
      <formula>OR(WEEKDAY(L$3)=7,WEEKDAY(L$3)=1)</formula>
    </cfRule>
  </conditionalFormatting>
  <conditionalFormatting sqref="L36:M37 L43:M45">
    <cfRule type="expression" dxfId="698" priority="267">
      <formula>OR(WEEKDAY(L$3)=7,WEEKDAY(L$3)=1)</formula>
    </cfRule>
  </conditionalFormatting>
  <conditionalFormatting sqref="L29:N29">
    <cfRule type="expression" dxfId="697" priority="24">
      <formula>OR(WEEKDAY(L$3)=7,WEEKDAY(L$3)=1)</formula>
    </cfRule>
  </conditionalFormatting>
  <conditionalFormatting sqref="M4:M17">
    <cfRule type="expression" dxfId="696" priority="16">
      <formula>OR(WEEKDAY(M$3)=7,WEEKDAY(M$3)=1)</formula>
    </cfRule>
  </conditionalFormatting>
  <conditionalFormatting sqref="M35:M36">
    <cfRule type="expression" dxfId="695" priority="266">
      <formula>OR(WEEKDAY(M$3)=7,WEEKDAY(M$3)=1)</formula>
    </cfRule>
  </conditionalFormatting>
  <conditionalFormatting sqref="M38:M42">
    <cfRule type="expression" dxfId="694" priority="33">
      <formula>OR(WEEKDAY(M$3)=7,WEEKDAY(M$3)=1)</formula>
    </cfRule>
  </conditionalFormatting>
  <conditionalFormatting sqref="N9:N10">
    <cfRule type="expression" dxfId="693" priority="12">
      <formula>OR(WEEKDAY(N$3)=7,WEEKDAY(N$3)=1)</formula>
    </cfRule>
  </conditionalFormatting>
  <conditionalFormatting sqref="N36">
    <cfRule type="expression" dxfId="692" priority="231">
      <formula>OR(WEEKDAY(N$3)=7,WEEKDAY(N$3)=1)</formula>
    </cfRule>
  </conditionalFormatting>
  <conditionalFormatting sqref="N41">
    <cfRule type="expression" dxfId="691" priority="35">
      <formula>OR(WEEKDAY(N$3)=7,WEEKDAY(N$3)=1)</formula>
    </cfRule>
  </conditionalFormatting>
  <conditionalFormatting sqref="N4:O8">
    <cfRule type="expression" dxfId="690" priority="9">
      <formula>OR(WEEKDAY(N$3)=7,WEEKDAY(N$3)=1)</formula>
    </cfRule>
  </conditionalFormatting>
  <conditionalFormatting sqref="O9">
    <cfRule type="expression" dxfId="689" priority="74">
      <formula>OR(WEEKDAY(O$3)=7,WEEKDAY(O$3)=1)</formula>
    </cfRule>
  </conditionalFormatting>
  <conditionalFormatting sqref="O16">
    <cfRule type="expression" dxfId="688" priority="232">
      <formula>OR(WEEKDAY(O$3)=7,WEEKDAY(O$3)=1)</formula>
    </cfRule>
  </conditionalFormatting>
  <conditionalFormatting sqref="O31">
    <cfRule type="expression" dxfId="687" priority="45">
      <formula>OR(WEEKDAY(O$3)=7,WEEKDAY(O$3)=1)</formula>
    </cfRule>
  </conditionalFormatting>
  <conditionalFormatting sqref="O40:O41">
    <cfRule type="expression" dxfId="686" priority="34">
      <formula>OR(WEEKDAY(O$3)=7,WEEKDAY(O$3)=1)</formula>
    </cfRule>
  </conditionalFormatting>
  <conditionalFormatting sqref="P4:Q17">
    <cfRule type="expression" dxfId="685" priority="139">
      <formula>OR(WEEKDAY(P$3)=7,WEEKDAY(P$3)=1)</formula>
    </cfRule>
  </conditionalFormatting>
  <conditionalFormatting sqref="P22:Q45">
    <cfRule type="expression" dxfId="684" priority="87">
      <formula>OR(WEEKDAY(P$3)=7,WEEKDAY(P$3)=1)</formula>
    </cfRule>
  </conditionalFormatting>
  <conditionalFormatting sqref="R4:R10">
    <cfRule type="expression" dxfId="683" priority="66">
      <formula>OR(WEEKDAY(R$3)=7,WEEKDAY(R$3)=1)</formula>
    </cfRule>
  </conditionalFormatting>
  <conditionalFormatting sqref="R12">
    <cfRule type="expression" dxfId="682" priority="228">
      <formula>OR(WEEKDAY(R$3)=7,WEEKDAY(R$3)=1)</formula>
    </cfRule>
  </conditionalFormatting>
  <conditionalFormatting sqref="R14">
    <cfRule type="expression" dxfId="681" priority="234">
      <formula>OR(WEEKDAY(R$3)=7,WEEKDAY(R$3)=1)</formula>
    </cfRule>
  </conditionalFormatting>
  <conditionalFormatting sqref="R22:R26">
    <cfRule type="expression" dxfId="680" priority="65">
      <formula>OR(WEEKDAY(R$3)=7,WEEKDAY(R$3)=1)</formula>
    </cfRule>
  </conditionalFormatting>
  <conditionalFormatting sqref="R28">
    <cfRule type="expression" dxfId="679" priority="64">
      <formula>OR(WEEKDAY(R$3)=7,WEEKDAY(R$3)=1)</formula>
    </cfRule>
  </conditionalFormatting>
  <conditionalFormatting sqref="R31">
    <cfRule type="expression" dxfId="678" priority="325">
      <formula>OR(WEEKDAY(R$3)=7,WEEKDAY(R$3)=1)</formula>
    </cfRule>
  </conditionalFormatting>
  <conditionalFormatting sqref="R41">
    <cfRule type="expression" dxfId="677" priority="32">
      <formula>OR(WEEKDAY(R$3)=7,WEEKDAY(R$3)=1)</formula>
    </cfRule>
  </conditionalFormatting>
  <conditionalFormatting sqref="S4:S16">
    <cfRule type="expression" dxfId="676" priority="7">
      <formula>OR(WEEKDAY(S$3)=7,WEEKDAY(S$3)=1)</formula>
    </cfRule>
  </conditionalFormatting>
  <conditionalFormatting sqref="S28:S31">
    <cfRule type="expression" dxfId="675" priority="44">
      <formula>OR(WEEKDAY(S$3)=7,WEEKDAY(S$3)=1)</formula>
    </cfRule>
  </conditionalFormatting>
  <conditionalFormatting sqref="S35:S44">
    <cfRule type="expression" dxfId="674" priority="256">
      <formula>OR(WEEKDAY(S$3)=7,WEEKDAY(S$3)=1)</formula>
    </cfRule>
  </conditionalFormatting>
  <conditionalFormatting sqref="S22:T27">
    <cfRule type="expression" dxfId="673" priority="19">
      <formula>OR(WEEKDAY(S$3)=7,WEEKDAY(S$3)=1)</formula>
    </cfRule>
  </conditionalFormatting>
  <conditionalFormatting sqref="S32:T34">
    <cfRule type="expression" dxfId="672" priority="261">
      <formula>OR(WEEKDAY(S$3)=7,WEEKDAY(S$3)=1)</formula>
    </cfRule>
  </conditionalFormatting>
  <conditionalFormatting sqref="S36:T37 S45:T45 T46 S47:T47">
    <cfRule type="expression" dxfId="671" priority="260">
      <formula>OR(WEEKDAY(S$3)=7,WEEKDAY(S$3)=1)</formula>
    </cfRule>
  </conditionalFormatting>
  <conditionalFormatting sqref="T4:T17">
    <cfRule type="expression" dxfId="670" priority="15">
      <formula>OR(WEEKDAY(T$3)=7,WEEKDAY(T$3)=1)</formula>
    </cfRule>
  </conditionalFormatting>
  <conditionalFormatting sqref="T29">
    <cfRule type="expression" dxfId="669" priority="23">
      <formula>OR(WEEKDAY(T$3)=7,WEEKDAY(T$3)=1)</formula>
    </cfRule>
  </conditionalFormatting>
  <conditionalFormatting sqref="T31">
    <cfRule type="expression" dxfId="668" priority="273">
      <formula>OR(WEEKDAY(T$3)=7,WEEKDAY(T$3)=1)</formula>
    </cfRule>
  </conditionalFormatting>
  <conditionalFormatting sqref="T35:T36">
    <cfRule type="expression" dxfId="667" priority="259">
      <formula>OR(WEEKDAY(T$3)=7,WEEKDAY(T$3)=1)</formula>
    </cfRule>
  </conditionalFormatting>
  <conditionalFormatting sqref="T38:T40">
    <cfRule type="expression" dxfId="666" priority="62">
      <formula>OR(WEEKDAY(T$3)=7,WEEKDAY(T$3)=1)</formula>
    </cfRule>
  </conditionalFormatting>
  <conditionalFormatting sqref="T44">
    <cfRule type="expression" dxfId="665" priority="49">
      <formula>OR(WEEKDAY(T$3)=7,WEEKDAY(T$3)=1)</formula>
    </cfRule>
  </conditionalFormatting>
  <conditionalFormatting sqref="T42:V42">
    <cfRule type="expression" dxfId="664" priority="55">
      <formula>OR(WEEKDAY(T$3)=7,WEEKDAY(T$3)=1)</formula>
    </cfRule>
  </conditionalFormatting>
  <conditionalFormatting sqref="U4:U8">
    <cfRule type="expression" dxfId="663" priority="71">
      <formula>OR(WEEKDAY(U$3)=7,WEEKDAY(U$3)=1)</formula>
    </cfRule>
  </conditionalFormatting>
  <conditionalFormatting sqref="U11">
    <cfRule type="expression" dxfId="662" priority="329">
      <formula>OR(WEEKDAY(U$3)=7,WEEKDAY(U$3)=1)</formula>
    </cfRule>
  </conditionalFormatting>
  <conditionalFormatting sqref="U22:U26">
    <cfRule type="expression" dxfId="661" priority="215">
      <formula>OR(WEEKDAY(U$3)=7,WEEKDAY(U$3)=1)</formula>
    </cfRule>
  </conditionalFormatting>
  <conditionalFormatting sqref="U36">
    <cfRule type="expression" dxfId="660" priority="247">
      <formula>OR(WEEKDAY(U$3)=7,WEEKDAY(U$3)=1)</formula>
    </cfRule>
  </conditionalFormatting>
  <conditionalFormatting sqref="U45:U46">
    <cfRule type="expression" dxfId="659" priority="28">
      <formula>OR(WEEKDAY(U$3)=7,WEEKDAY(U$3)=1)</formula>
    </cfRule>
  </conditionalFormatting>
  <conditionalFormatting sqref="V4:V9">
    <cfRule type="expression" dxfId="658" priority="357">
      <formula>OR(WEEKDAY(V$3)=7,WEEKDAY(V$3)=1)</formula>
    </cfRule>
  </conditionalFormatting>
  <conditionalFormatting sqref="V24">
    <cfRule type="expression" dxfId="657" priority="61">
      <formula>OR(WEEKDAY(V$3)=7,WEEKDAY(V$3)=1)</formula>
    </cfRule>
  </conditionalFormatting>
  <conditionalFormatting sqref="V32">
    <cfRule type="expression" dxfId="656" priority="39">
      <formula>OR(WEEKDAY(V$3)=7,WEEKDAY(V$3)=1)</formula>
    </cfRule>
  </conditionalFormatting>
  <conditionalFormatting sqref="W4:X19">
    <cfRule type="expression" dxfId="655" priority="125">
      <formula>OR(WEEKDAY(W$3)=7,WEEKDAY(W$3)=1)</formula>
    </cfRule>
  </conditionalFormatting>
  <conditionalFormatting sqref="W22:X47">
    <cfRule type="expression" dxfId="654" priority="81">
      <formula>OR(WEEKDAY(W$3)=7,WEEKDAY(W$3)=1)</formula>
    </cfRule>
  </conditionalFormatting>
  <conditionalFormatting sqref="Y4">
    <cfRule type="expression" dxfId="653" priority="214">
      <formula>OR(WEEKDAY(Y$3)=7,WEEKDAY(Y$3)=1)</formula>
    </cfRule>
  </conditionalFormatting>
  <conditionalFormatting sqref="Y8:Y9">
    <cfRule type="expression" dxfId="652" priority="236">
      <formula>OR(WEEKDAY(Y$3)=7,WEEKDAY(Y$3)=1)</formula>
    </cfRule>
  </conditionalFormatting>
  <conditionalFormatting sqref="Y22:Y26">
    <cfRule type="expression" dxfId="651" priority="331">
      <formula>OR(WEEKDAY(Y$3)=7,WEEKDAY(Y$3)=1)</formula>
    </cfRule>
  </conditionalFormatting>
  <conditionalFormatting sqref="Y42">
    <cfRule type="expression" dxfId="650" priority="54">
      <formula>OR(WEEKDAY(Y$3)=7,WEEKDAY(Y$3)=1)</formula>
    </cfRule>
  </conditionalFormatting>
  <conditionalFormatting sqref="Y28:Z28">
    <cfRule type="expression" dxfId="649" priority="60">
      <formula>OR(WEEKDAY(Y$3)=7,WEEKDAY(Y$3)=1)</formula>
    </cfRule>
  </conditionalFormatting>
  <conditionalFormatting sqref="Z35:Z42">
    <cfRule type="expression" dxfId="648" priority="53">
      <formula>OR(WEEKDAY(Z$3)=7,WEEKDAY(Z$3)=1)</formula>
    </cfRule>
  </conditionalFormatting>
  <conditionalFormatting sqref="Z4:AA19">
    <cfRule type="expression" dxfId="647" priority="13">
      <formula>OR(WEEKDAY(Z$3)=7,WEEKDAY(Z$3)=1)</formula>
    </cfRule>
  </conditionalFormatting>
  <conditionalFormatting sqref="Z22:AA27">
    <cfRule type="expression" dxfId="646" priority="18">
      <formula>OR(WEEKDAY(Z$3)=7,WEEKDAY(Z$3)=1)</formula>
    </cfRule>
  </conditionalFormatting>
  <conditionalFormatting sqref="Z29:AA34">
    <cfRule type="expression" dxfId="645" priority="43">
      <formula>OR(WEEKDAY(Z$3)=7,WEEKDAY(Z$3)=1)</formula>
    </cfRule>
  </conditionalFormatting>
  <conditionalFormatting sqref="Z36:AA37">
    <cfRule type="expression" dxfId="644" priority="253">
      <formula>OR(WEEKDAY(Z$3)=7,WEEKDAY(Z$3)=1)</formula>
    </cfRule>
  </conditionalFormatting>
  <conditionalFormatting sqref="Z44:AA47">
    <cfRule type="expression" dxfId="643" priority="27">
      <formula>OR(WEEKDAY(Z$3)=7,WEEKDAY(Z$3)=1)</formula>
    </cfRule>
  </conditionalFormatting>
  <conditionalFormatting sqref="AA35:AA36">
    <cfRule type="expression" dxfId="642" priority="252">
      <formula>OR(WEEKDAY(AA$3)=7,WEEKDAY(AA$3)=1)</formula>
    </cfRule>
  </conditionalFormatting>
  <conditionalFormatting sqref="AA38:AA40">
    <cfRule type="expression" dxfId="641" priority="59">
      <formula>OR(WEEKDAY(AA$3)=7,WEEKDAY(AA$3)=1)</formula>
    </cfRule>
  </conditionalFormatting>
  <conditionalFormatting sqref="AA42:AB42">
    <cfRule type="expression" dxfId="640" priority="51">
      <formula>OR(WEEKDAY(AA$3)=7,WEEKDAY(AA$3)=1)</formula>
    </cfRule>
  </conditionalFormatting>
  <conditionalFormatting sqref="AB27">
    <cfRule type="expression" dxfId="639" priority="21">
      <formula>OR(WEEKDAY(AB$3)=7,WEEKDAY(AB$3)=1)</formula>
    </cfRule>
  </conditionalFormatting>
  <conditionalFormatting sqref="AB38">
    <cfRule type="expression" dxfId="638" priority="327">
      <formula>OR(WEEKDAY(AB$3)=7,WEEKDAY(AB$3)=1)</formula>
    </cfRule>
  </conditionalFormatting>
  <conditionalFormatting sqref="AB4:AC9">
    <cfRule type="expression" dxfId="637" priority="356">
      <formula>OR(WEEKDAY(AB$3)=7,WEEKDAY(AB$3)=1)</formula>
    </cfRule>
  </conditionalFormatting>
  <conditionalFormatting sqref="AB22:AC25">
    <cfRule type="expression" dxfId="636" priority="354">
      <formula>OR(WEEKDAY(AB$3)=7,WEEKDAY(AB$3)=1)</formula>
    </cfRule>
  </conditionalFormatting>
  <conditionalFormatting sqref="AC11">
    <cfRule type="expression" dxfId="635" priority="17">
      <formula>OR(WEEKDAY(AC$3)=7,WEEKDAY(AC$3)=1)</formula>
    </cfRule>
  </conditionalFormatting>
  <conditionalFormatting sqref="AC32">
    <cfRule type="expression" dxfId="634" priority="211">
      <formula>OR(WEEKDAY(AC$3)=7,WEEKDAY(AC$3)=1)</formula>
    </cfRule>
  </conditionalFormatting>
  <conditionalFormatting sqref="AC36">
    <cfRule type="expression" dxfId="633" priority="221">
      <formula>OR(WEEKDAY(AC$3)=7,WEEKDAY(AC$3)=1)</formula>
    </cfRule>
  </conditionalFormatting>
  <conditionalFormatting sqref="AC41">
    <cfRule type="expression" dxfId="632" priority="31">
      <formula>OR(WEEKDAY(AC$3)=7,WEEKDAY(AC$3)=1)</formula>
    </cfRule>
  </conditionalFormatting>
  <conditionalFormatting sqref="AC43">
    <cfRule type="expression" dxfId="631" priority="10">
      <formula>OR(WEEKDAY(AC$3)=7,WEEKDAY(AC$3)=1)</formula>
    </cfRule>
  </conditionalFormatting>
  <conditionalFormatting sqref="AC45">
    <cfRule type="expression" dxfId="630" priority="58">
      <formula>OR(WEEKDAY(AC$3)=7,WEEKDAY(AC$3)=1)</formula>
    </cfRule>
  </conditionalFormatting>
  <conditionalFormatting sqref="AD4:AE19">
    <cfRule type="expression" dxfId="629" priority="112">
      <formula>OR(WEEKDAY(AD$3)=7,WEEKDAY(AD$3)=1)</formula>
    </cfRule>
  </conditionalFormatting>
  <conditionalFormatting sqref="AD22:AE47">
    <cfRule type="expression" dxfId="628" priority="76">
      <formula>OR(WEEKDAY(AD$3)=7,WEEKDAY(AD$3)=1)</formula>
    </cfRule>
  </conditionalFormatting>
  <conditionalFormatting sqref="AF12">
    <cfRule type="expression" dxfId="627" priority="220">
      <formula>OR(WEEKDAY(AF$3)=7,WEEKDAY(AF$3)=1)</formula>
    </cfRule>
  </conditionalFormatting>
  <conditionalFormatting sqref="AF25:AG25">
    <cfRule type="expression" dxfId="626" priority="50">
      <formula>OR(WEEKDAY(AF$3)=7,WEEKDAY(AF$3)=1)</formula>
    </cfRule>
  </conditionalFormatting>
  <conditionalFormatting sqref="AF31:AG31">
    <cfRule type="expression" dxfId="625" priority="41">
      <formula>OR(WEEKDAY(AF$3)=7,WEEKDAY(AF$3)=1)</formula>
    </cfRule>
  </conditionalFormatting>
  <conditionalFormatting sqref="AF4:AH9">
    <cfRule type="expression" dxfId="624" priority="342">
      <formula>OR(WEEKDAY(AF$3)=7,WEEKDAY(AF$3)=1)</formula>
    </cfRule>
  </conditionalFormatting>
  <conditionalFormatting sqref="AG41:AH41">
    <cfRule type="expression" dxfId="623" priority="29">
      <formula>OR(WEEKDAY(AG$3)=7,WEEKDAY(AG$3)=1)</formula>
    </cfRule>
  </conditionalFormatting>
  <conditionalFormatting sqref="AH29">
    <cfRule type="expression" dxfId="622" priority="25">
      <formula>OR(WEEKDAY(AH$3)=7,WEEKDAY(AH$3)=1)</formula>
    </cfRule>
  </conditionalFormatting>
  <conditionalFormatting sqref="AH43">
    <cfRule type="expression" dxfId="621" priority="26">
      <formula>OR(WEEKDAY(AH$3)=7,WEEKDAY(AH$3)=1)</formula>
    </cfRule>
  </conditionalFormatting>
  <pageMargins left="0.25" right="0.25" top="0.75" bottom="0.75" header="0.3" footer="0.3"/>
  <pageSetup paperSize="9" scale="46" orientation="landscape" cellComments="asDisplayed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581A-5C79-4AFB-B862-0901919030CC}">
  <sheetPr>
    <pageSetUpPr fitToPage="1"/>
  </sheetPr>
  <dimension ref="A1:BP42"/>
  <sheetViews>
    <sheetView topLeftCell="B1" zoomScale="85" zoomScaleNormal="85" workbookViewId="0">
      <pane xSplit="2" ySplit="2" topLeftCell="D15" activePane="bottomRight" state="frozen"/>
      <selection activeCell="B1" sqref="B1"/>
      <selection pane="topRight" activeCell="D1" sqref="D1"/>
      <selection pane="bottomLeft" activeCell="B3" sqref="B3"/>
      <selection pane="bottomRight" activeCell="AG33" sqref="AG33"/>
    </sheetView>
  </sheetViews>
  <sheetFormatPr defaultColWidth="9" defaultRowHeight="15.6" x14ac:dyDescent="0.4"/>
  <cols>
    <col min="1" max="1" width="17.19921875" style="27" customWidth="1"/>
    <col min="2" max="2" width="5.8984375" style="27" customWidth="1"/>
    <col min="3" max="3" width="13" style="35" customWidth="1"/>
    <col min="4" max="4" width="7.3984375" style="35" customWidth="1"/>
    <col min="5" max="35" width="5.3984375" style="27" customWidth="1"/>
    <col min="36" max="38" width="9" style="27" customWidth="1"/>
    <col min="39" max="39" width="9.59765625" style="36" customWidth="1"/>
    <col min="40" max="40" width="9" style="27"/>
    <col min="41" max="41" width="10" style="27" bestFit="1" customWidth="1"/>
    <col min="42" max="16384" width="9" style="27"/>
  </cols>
  <sheetData>
    <row r="1" spans="1:68" s="15" customFormat="1" ht="36.75" customHeight="1" thickBot="1" x14ac:dyDescent="0.45">
      <c r="A1" s="130">
        <v>45078</v>
      </c>
      <c r="B1" s="130"/>
      <c r="C1" s="131"/>
      <c r="D1" s="132">
        <v>45778</v>
      </c>
      <c r="E1" s="133"/>
      <c r="F1" s="133"/>
      <c r="G1" s="133"/>
      <c r="H1" s="133"/>
      <c r="I1" s="13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M1" s="16"/>
    </row>
    <row r="2" spans="1:68" s="23" customFormat="1" ht="21.75" customHeight="1" x14ac:dyDescent="0.4">
      <c r="A2" s="192" t="s">
        <v>37</v>
      </c>
      <c r="B2" s="135" t="s">
        <v>38</v>
      </c>
      <c r="C2" s="139" t="s">
        <v>39</v>
      </c>
      <c r="D2" s="64" t="s">
        <v>40</v>
      </c>
      <c r="E2" s="18">
        <f>D1</f>
        <v>45778</v>
      </c>
      <c r="F2" s="19">
        <f>E2+1</f>
        <v>45779</v>
      </c>
      <c r="G2" s="18">
        <f t="shared" ref="G2:AE2" si="0">F2+1</f>
        <v>45780</v>
      </c>
      <c r="H2" s="19">
        <f t="shared" si="0"/>
        <v>45781</v>
      </c>
      <c r="I2" s="19">
        <f t="shared" si="0"/>
        <v>45782</v>
      </c>
      <c r="J2" s="19">
        <f t="shared" si="0"/>
        <v>45783</v>
      </c>
      <c r="K2" s="19">
        <f t="shared" si="0"/>
        <v>45784</v>
      </c>
      <c r="L2" s="19">
        <f t="shared" si="0"/>
        <v>45785</v>
      </c>
      <c r="M2" s="19">
        <f t="shared" si="0"/>
        <v>45786</v>
      </c>
      <c r="N2" s="19">
        <f t="shared" si="0"/>
        <v>45787</v>
      </c>
      <c r="O2" s="19">
        <f t="shared" si="0"/>
        <v>45788</v>
      </c>
      <c r="P2" s="19">
        <f t="shared" si="0"/>
        <v>45789</v>
      </c>
      <c r="Q2" s="19">
        <f t="shared" si="0"/>
        <v>45790</v>
      </c>
      <c r="R2" s="19">
        <f t="shared" si="0"/>
        <v>45791</v>
      </c>
      <c r="S2" s="18">
        <f t="shared" si="0"/>
        <v>45792</v>
      </c>
      <c r="T2" s="19">
        <f t="shared" si="0"/>
        <v>45793</v>
      </c>
      <c r="U2" s="19">
        <f t="shared" si="0"/>
        <v>45794</v>
      </c>
      <c r="V2" s="19">
        <f t="shared" si="0"/>
        <v>45795</v>
      </c>
      <c r="W2" s="19">
        <f t="shared" si="0"/>
        <v>45796</v>
      </c>
      <c r="X2" s="19">
        <f t="shared" si="0"/>
        <v>45797</v>
      </c>
      <c r="Y2" s="19">
        <f t="shared" si="0"/>
        <v>45798</v>
      </c>
      <c r="Z2" s="19">
        <f t="shared" si="0"/>
        <v>45799</v>
      </c>
      <c r="AA2" s="20">
        <f t="shared" si="0"/>
        <v>45800</v>
      </c>
      <c r="AB2" s="20">
        <f t="shared" si="0"/>
        <v>45801</v>
      </c>
      <c r="AC2" s="18">
        <f>AB2+1</f>
        <v>45802</v>
      </c>
      <c r="AD2" s="19">
        <f t="shared" si="0"/>
        <v>45803</v>
      </c>
      <c r="AE2" s="19">
        <f t="shared" si="0"/>
        <v>45804</v>
      </c>
      <c r="AF2" s="19">
        <v>28</v>
      </c>
      <c r="AG2" s="19">
        <v>29</v>
      </c>
      <c r="AH2" s="19">
        <v>30</v>
      </c>
      <c r="AI2" s="19">
        <v>31</v>
      </c>
      <c r="AJ2" s="141" t="s">
        <v>41</v>
      </c>
      <c r="AK2" s="145" t="s">
        <v>42</v>
      </c>
      <c r="AL2" s="147" t="s">
        <v>43</v>
      </c>
      <c r="AM2" s="149" t="s">
        <v>44</v>
      </c>
      <c r="AN2" s="151" t="s">
        <v>45</v>
      </c>
      <c r="AO2" s="153" t="s">
        <v>46</v>
      </c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</row>
    <row r="3" spans="1:68" s="24" customFormat="1" ht="18" thickBot="1" x14ac:dyDescent="0.45">
      <c r="A3" s="193"/>
      <c r="B3" s="136"/>
      <c r="C3" s="140"/>
      <c r="D3" s="65" t="s">
        <v>47</v>
      </c>
      <c r="E3" s="75">
        <f>E2</f>
        <v>45778</v>
      </c>
      <c r="F3" s="40">
        <f t="shared" ref="F3:AE3" si="1">F2</f>
        <v>45779</v>
      </c>
      <c r="G3" s="39">
        <f t="shared" si="1"/>
        <v>45780</v>
      </c>
      <c r="H3" s="40">
        <f t="shared" si="1"/>
        <v>45781</v>
      </c>
      <c r="I3" s="75">
        <f t="shared" si="1"/>
        <v>45782</v>
      </c>
      <c r="J3" s="76">
        <f t="shared" si="1"/>
        <v>45783</v>
      </c>
      <c r="K3" s="39">
        <f t="shared" si="1"/>
        <v>45784</v>
      </c>
      <c r="L3" s="40">
        <f t="shared" si="1"/>
        <v>45785</v>
      </c>
      <c r="M3" s="39">
        <f t="shared" si="1"/>
        <v>45786</v>
      </c>
      <c r="N3" s="40">
        <f t="shared" si="1"/>
        <v>45787</v>
      </c>
      <c r="O3" s="39">
        <f t="shared" si="1"/>
        <v>45788</v>
      </c>
      <c r="P3" s="40">
        <f t="shared" si="1"/>
        <v>45789</v>
      </c>
      <c r="Q3" s="39">
        <f t="shared" si="1"/>
        <v>45790</v>
      </c>
      <c r="R3" s="40">
        <f t="shared" si="1"/>
        <v>45791</v>
      </c>
      <c r="S3" s="39">
        <f t="shared" si="1"/>
        <v>45792</v>
      </c>
      <c r="T3" s="40">
        <f t="shared" si="1"/>
        <v>45793</v>
      </c>
      <c r="U3" s="39">
        <f t="shared" si="1"/>
        <v>45794</v>
      </c>
      <c r="V3" s="40">
        <f t="shared" si="1"/>
        <v>45795</v>
      </c>
      <c r="W3" s="39">
        <f t="shared" si="1"/>
        <v>45796</v>
      </c>
      <c r="X3" s="40">
        <f t="shared" si="1"/>
        <v>45797</v>
      </c>
      <c r="Y3" s="39">
        <f t="shared" si="1"/>
        <v>45798</v>
      </c>
      <c r="Z3" s="40">
        <f t="shared" si="1"/>
        <v>45799</v>
      </c>
      <c r="AA3" s="39">
        <f t="shared" si="1"/>
        <v>45800</v>
      </c>
      <c r="AB3" s="40">
        <f t="shared" si="1"/>
        <v>45801</v>
      </c>
      <c r="AC3" s="39">
        <f t="shared" si="1"/>
        <v>45802</v>
      </c>
      <c r="AD3" s="40">
        <f t="shared" si="1"/>
        <v>45803</v>
      </c>
      <c r="AE3" s="39">
        <f t="shared" si="1"/>
        <v>45804</v>
      </c>
      <c r="AF3" s="39" t="s">
        <v>474</v>
      </c>
      <c r="AG3" s="40" t="s">
        <v>475</v>
      </c>
      <c r="AH3" s="39" t="s">
        <v>408</v>
      </c>
      <c r="AI3" s="39">
        <v>45801</v>
      </c>
      <c r="AJ3" s="142"/>
      <c r="AK3" s="146"/>
      <c r="AL3" s="148"/>
      <c r="AM3" s="150"/>
      <c r="AN3" s="152"/>
      <c r="AO3" s="154"/>
    </row>
    <row r="4" spans="1:68" ht="21.75" customHeight="1" thickBot="1" x14ac:dyDescent="0.45">
      <c r="A4" s="155" t="s">
        <v>48</v>
      </c>
      <c r="B4" s="190" t="s">
        <v>67</v>
      </c>
      <c r="C4" s="159" t="s">
        <v>50</v>
      </c>
      <c r="D4" s="33" t="s">
        <v>51</v>
      </c>
      <c r="E4" s="43" t="s">
        <v>70</v>
      </c>
      <c r="F4" s="34" t="s">
        <v>318</v>
      </c>
      <c r="G4" s="34" t="s">
        <v>70</v>
      </c>
      <c r="H4" s="34" t="s">
        <v>70</v>
      </c>
      <c r="I4" s="43" t="s">
        <v>70</v>
      </c>
      <c r="J4" s="43" t="s">
        <v>70</v>
      </c>
      <c r="K4" s="34" t="s">
        <v>429</v>
      </c>
      <c r="L4" s="34" t="s">
        <v>77</v>
      </c>
      <c r="M4" s="34" t="s">
        <v>316</v>
      </c>
      <c r="N4" s="34" t="s">
        <v>70</v>
      </c>
      <c r="O4" s="34" t="s">
        <v>70</v>
      </c>
      <c r="P4" s="34" t="s">
        <v>182</v>
      </c>
      <c r="Q4" s="34" t="s">
        <v>96</v>
      </c>
      <c r="R4" s="77" t="s">
        <v>493</v>
      </c>
      <c r="S4" s="34" t="s">
        <v>78</v>
      </c>
      <c r="T4" s="34" t="s">
        <v>182</v>
      </c>
      <c r="U4" s="34" t="s">
        <v>70</v>
      </c>
      <c r="V4" s="34" t="s">
        <v>70</v>
      </c>
      <c r="W4" s="34" t="s">
        <v>223</v>
      </c>
      <c r="X4" s="34" t="s">
        <v>78</v>
      </c>
      <c r="Y4" s="34" t="s">
        <v>381</v>
      </c>
      <c r="Z4" s="34" t="s">
        <v>181</v>
      </c>
      <c r="AA4" s="34" t="s">
        <v>221</v>
      </c>
      <c r="AB4" s="34" t="s">
        <v>70</v>
      </c>
      <c r="AC4" s="34" t="s">
        <v>70</v>
      </c>
      <c r="AD4" s="34" t="s">
        <v>481</v>
      </c>
      <c r="AE4" s="34" t="s">
        <v>319</v>
      </c>
      <c r="AF4" s="126" t="s">
        <v>176</v>
      </c>
      <c r="AG4" s="34" t="s">
        <v>481</v>
      </c>
      <c r="AH4" s="34" t="s">
        <v>368</v>
      </c>
      <c r="AI4" s="34" t="s">
        <v>70</v>
      </c>
      <c r="AJ4" s="160" t="s">
        <v>494</v>
      </c>
      <c r="AK4" s="161"/>
      <c r="AL4" s="108"/>
      <c r="AM4" s="110">
        <v>1.5</v>
      </c>
      <c r="AN4" s="183">
        <f>(F4+K4+L4+M4+P4+Q4+S4+T4+W4+X4+Y4+Z4+AA4+AD4+AE4+AG4+AH4)/17</f>
        <v>0.3156454248366013</v>
      </c>
      <c r="AO4" s="203">
        <f>(F5+K5+L5+M5+P5+Q5+R5+T5+W5+X5+Z5+AA5+AD5+AE5+AG5+AH5)/16</f>
        <v>0.78346354166666676</v>
      </c>
      <c r="AQ4" s="24"/>
    </row>
    <row r="5" spans="1:68" ht="21.75" customHeight="1" thickTop="1" thickBot="1" x14ac:dyDescent="0.45">
      <c r="A5" s="156"/>
      <c r="B5" s="186"/>
      <c r="C5" s="120"/>
      <c r="D5" s="25" t="s">
        <v>52</v>
      </c>
      <c r="E5" s="44" t="s">
        <v>70</v>
      </c>
      <c r="F5" s="26" t="s">
        <v>83</v>
      </c>
      <c r="G5" s="26" t="s">
        <v>70</v>
      </c>
      <c r="H5" s="26" t="s">
        <v>70</v>
      </c>
      <c r="I5" s="44" t="s">
        <v>70</v>
      </c>
      <c r="J5" s="44" t="s">
        <v>70</v>
      </c>
      <c r="K5" s="26" t="s">
        <v>326</v>
      </c>
      <c r="L5" s="26" t="s">
        <v>86</v>
      </c>
      <c r="M5" s="26" t="s">
        <v>158</v>
      </c>
      <c r="N5" s="26" t="s">
        <v>70</v>
      </c>
      <c r="O5" s="26" t="s">
        <v>70</v>
      </c>
      <c r="P5" s="26" t="s">
        <v>88</v>
      </c>
      <c r="Q5" s="26" t="s">
        <v>192</v>
      </c>
      <c r="R5" s="26" t="s">
        <v>123</v>
      </c>
      <c r="S5" s="41" t="s">
        <v>279</v>
      </c>
      <c r="T5" s="26" t="s">
        <v>90</v>
      </c>
      <c r="U5" s="26" t="s">
        <v>70</v>
      </c>
      <c r="V5" s="26" t="s">
        <v>70</v>
      </c>
      <c r="W5" s="26" t="s">
        <v>309</v>
      </c>
      <c r="X5" s="26" t="s">
        <v>117</v>
      </c>
      <c r="Y5" s="26" t="s">
        <v>482</v>
      </c>
      <c r="Z5" s="26" t="s">
        <v>307</v>
      </c>
      <c r="AA5" s="26" t="s">
        <v>123</v>
      </c>
      <c r="AB5" s="26" t="s">
        <v>70</v>
      </c>
      <c r="AC5" s="26" t="s">
        <v>70</v>
      </c>
      <c r="AD5" s="26" t="s">
        <v>123</v>
      </c>
      <c r="AE5" s="26" t="s">
        <v>92</v>
      </c>
      <c r="AF5" s="126"/>
      <c r="AG5" s="26" t="s">
        <v>83</v>
      </c>
      <c r="AH5" s="26" t="s">
        <v>84</v>
      </c>
      <c r="AI5" s="26" t="s">
        <v>70</v>
      </c>
      <c r="AJ5" s="127"/>
      <c r="AK5" s="162"/>
      <c r="AL5" s="194"/>
      <c r="AM5" s="195"/>
      <c r="AN5" s="111"/>
      <c r="AO5" s="181"/>
      <c r="AP5" s="28"/>
    </row>
    <row r="6" spans="1:68" ht="21.75" customHeight="1" thickTop="1" thickBot="1" x14ac:dyDescent="0.45">
      <c r="A6" s="156"/>
      <c r="B6" s="186" t="s">
        <v>49</v>
      </c>
      <c r="C6" s="120" t="s">
        <v>424</v>
      </c>
      <c r="D6" s="25" t="s">
        <v>51</v>
      </c>
      <c r="E6" s="44" t="s">
        <v>70</v>
      </c>
      <c r="F6" s="26" t="s">
        <v>179</v>
      </c>
      <c r="G6" s="26" t="s">
        <v>70</v>
      </c>
      <c r="H6" s="26" t="s">
        <v>70</v>
      </c>
      <c r="I6" s="44" t="s">
        <v>70</v>
      </c>
      <c r="J6" s="44" t="s">
        <v>70</v>
      </c>
      <c r="K6" s="26" t="s">
        <v>134</v>
      </c>
      <c r="L6" s="26" t="s">
        <v>94</v>
      </c>
      <c r="M6" s="26" t="s">
        <v>142</v>
      </c>
      <c r="N6" s="26" t="s">
        <v>70</v>
      </c>
      <c r="O6" s="26" t="s">
        <v>70</v>
      </c>
      <c r="P6" s="77" t="s">
        <v>493</v>
      </c>
      <c r="Q6" s="26" t="s">
        <v>346</v>
      </c>
      <c r="R6" s="77" t="s">
        <v>493</v>
      </c>
      <c r="S6" s="26" t="s">
        <v>69</v>
      </c>
      <c r="T6" s="26" t="s">
        <v>109</v>
      </c>
      <c r="U6" s="26" t="s">
        <v>70</v>
      </c>
      <c r="V6" s="26" t="s">
        <v>70</v>
      </c>
      <c r="W6" s="26" t="s">
        <v>134</v>
      </c>
      <c r="X6" s="26" t="s">
        <v>76</v>
      </c>
      <c r="Y6" s="26" t="s">
        <v>100</v>
      </c>
      <c r="Z6" s="26" t="s">
        <v>152</v>
      </c>
      <c r="AA6" s="26" t="s">
        <v>94</v>
      </c>
      <c r="AB6" s="26" t="s">
        <v>70</v>
      </c>
      <c r="AC6" s="26" t="s">
        <v>70</v>
      </c>
      <c r="AD6" s="26" t="s">
        <v>179</v>
      </c>
      <c r="AE6" s="26" t="s">
        <v>179</v>
      </c>
      <c r="AF6" s="26" t="s">
        <v>134</v>
      </c>
      <c r="AG6" s="126" t="s">
        <v>176</v>
      </c>
      <c r="AH6" s="26" t="s">
        <v>94</v>
      </c>
      <c r="AI6" s="26" t="s">
        <v>70</v>
      </c>
      <c r="AJ6" s="112"/>
      <c r="AK6" s="106"/>
      <c r="AL6" s="194" t="s">
        <v>495</v>
      </c>
      <c r="AM6" s="195">
        <v>1</v>
      </c>
      <c r="AN6" s="111">
        <f>(F6+K6+L6+M6+Q6+S6+T6+W6+X6+Y6+Z6+AA6+AD6+AE6+AF6+AH6)/16</f>
        <v>0.35737847222222219</v>
      </c>
      <c r="AO6" s="181">
        <f>(F7+K7+L7+M7+P7+Q7+R7+S7+T7+W7+X7+Z7+AA7+AD7+AE7+AF7+AH7)/17</f>
        <v>0.79779411764705888</v>
      </c>
      <c r="AP6" s="28"/>
    </row>
    <row r="7" spans="1:68" ht="21.75" customHeight="1" thickTop="1" thickBot="1" x14ac:dyDescent="0.45">
      <c r="A7" s="156"/>
      <c r="B7" s="186"/>
      <c r="C7" s="120"/>
      <c r="D7" s="25" t="s">
        <v>52</v>
      </c>
      <c r="E7" s="44" t="s">
        <v>70</v>
      </c>
      <c r="F7" s="26" t="s">
        <v>123</v>
      </c>
      <c r="G7" s="26" t="s">
        <v>70</v>
      </c>
      <c r="H7" s="26" t="s">
        <v>70</v>
      </c>
      <c r="I7" s="44" t="s">
        <v>70</v>
      </c>
      <c r="J7" s="44" t="s">
        <v>70</v>
      </c>
      <c r="K7" s="26" t="s">
        <v>98</v>
      </c>
      <c r="L7" s="26" t="s">
        <v>188</v>
      </c>
      <c r="M7" s="26" t="s">
        <v>158</v>
      </c>
      <c r="N7" s="26" t="s">
        <v>70</v>
      </c>
      <c r="O7" s="26" t="s">
        <v>70</v>
      </c>
      <c r="P7" s="26" t="s">
        <v>441</v>
      </c>
      <c r="Q7" s="26" t="s">
        <v>192</v>
      </c>
      <c r="R7" s="26" t="s">
        <v>127</v>
      </c>
      <c r="S7" s="26" t="s">
        <v>114</v>
      </c>
      <c r="T7" s="26" t="s">
        <v>90</v>
      </c>
      <c r="U7" s="26" t="s">
        <v>70</v>
      </c>
      <c r="V7" s="26" t="s">
        <v>70</v>
      </c>
      <c r="W7" s="26" t="s">
        <v>191</v>
      </c>
      <c r="X7" s="26" t="s">
        <v>297</v>
      </c>
      <c r="Y7" s="26" t="s">
        <v>490</v>
      </c>
      <c r="Z7" s="26" t="s">
        <v>127</v>
      </c>
      <c r="AA7" s="26" t="s">
        <v>92</v>
      </c>
      <c r="AB7" s="26" t="s">
        <v>70</v>
      </c>
      <c r="AC7" s="26" t="s">
        <v>70</v>
      </c>
      <c r="AD7" s="26" t="s">
        <v>98</v>
      </c>
      <c r="AE7" s="26" t="s">
        <v>169</v>
      </c>
      <c r="AF7" s="26" t="s">
        <v>86</v>
      </c>
      <c r="AG7" s="126"/>
      <c r="AH7" s="26" t="s">
        <v>92</v>
      </c>
      <c r="AI7" s="26" t="s">
        <v>70</v>
      </c>
      <c r="AJ7" s="112"/>
      <c r="AK7" s="106"/>
      <c r="AL7" s="194"/>
      <c r="AM7" s="195"/>
      <c r="AN7" s="111"/>
      <c r="AO7" s="181"/>
      <c r="AP7" s="28"/>
    </row>
    <row r="8" spans="1:68" ht="21.75" customHeight="1" thickTop="1" thickBot="1" x14ac:dyDescent="0.45">
      <c r="A8" s="156"/>
      <c r="B8" s="186" t="s">
        <v>53</v>
      </c>
      <c r="C8" s="120" t="s">
        <v>54</v>
      </c>
      <c r="D8" s="25" t="s">
        <v>51</v>
      </c>
      <c r="E8" s="44" t="s">
        <v>70</v>
      </c>
      <c r="F8" s="126" t="s">
        <v>176</v>
      </c>
      <c r="G8" s="26" t="s">
        <v>70</v>
      </c>
      <c r="H8" s="26" t="s">
        <v>70</v>
      </c>
      <c r="I8" s="44" t="s">
        <v>70</v>
      </c>
      <c r="J8" s="44" t="s">
        <v>470</v>
      </c>
      <c r="K8" s="26" t="s">
        <v>68</v>
      </c>
      <c r="L8" s="26" t="s">
        <v>135</v>
      </c>
      <c r="M8" s="26" t="s">
        <v>156</v>
      </c>
      <c r="N8" s="26" t="s">
        <v>70</v>
      </c>
      <c r="O8" s="26" t="s">
        <v>70</v>
      </c>
      <c r="P8" s="26" t="s">
        <v>121</v>
      </c>
      <c r="Q8" s="26" t="s">
        <v>120</v>
      </c>
      <c r="R8" s="26" t="s">
        <v>156</v>
      </c>
      <c r="S8" s="26" t="s">
        <v>160</v>
      </c>
      <c r="T8" s="26" t="s">
        <v>160</v>
      </c>
      <c r="U8" s="26" t="s">
        <v>70</v>
      </c>
      <c r="V8" s="26" t="s">
        <v>70</v>
      </c>
      <c r="W8" s="29" t="s">
        <v>471</v>
      </c>
      <c r="X8" s="26" t="s">
        <v>122</v>
      </c>
      <c r="Y8" s="26" t="s">
        <v>68</v>
      </c>
      <c r="Z8" s="26" t="s">
        <v>71</v>
      </c>
      <c r="AA8" s="26" t="s">
        <v>156</v>
      </c>
      <c r="AB8" s="26" t="s">
        <v>70</v>
      </c>
      <c r="AC8" s="26" t="s">
        <v>70</v>
      </c>
      <c r="AD8" s="126" t="s">
        <v>176</v>
      </c>
      <c r="AE8" s="26" t="s">
        <v>79</v>
      </c>
      <c r="AF8" s="26" t="s">
        <v>76</v>
      </c>
      <c r="AG8" s="26" t="s">
        <v>68</v>
      </c>
      <c r="AH8" s="29" t="s">
        <v>163</v>
      </c>
      <c r="AI8" s="26" t="s">
        <v>70</v>
      </c>
      <c r="AJ8" s="112"/>
      <c r="AK8" s="106" t="s">
        <v>495</v>
      </c>
      <c r="AL8" s="194"/>
      <c r="AM8" s="195">
        <v>2</v>
      </c>
      <c r="AN8" s="111">
        <f>(K8+L8+M8+P8+Q8+R8+S8+T8+W8+X8+Y8+Z8+AA8+AE8+AF8+AG8+AH8+BP42)/17</f>
        <v>0.37075163398692812</v>
      </c>
      <c r="AO8" s="181">
        <f>(K9+L9+M9+P9+Q9+R9+S9+T9+W9+X9+Z9+AA9+AE9+AF9+AG9+AH9)/16</f>
        <v>0.76549479166666667</v>
      </c>
    </row>
    <row r="9" spans="1:68" ht="21.75" customHeight="1" thickTop="1" thickBot="1" x14ac:dyDescent="0.45">
      <c r="A9" s="156"/>
      <c r="B9" s="186"/>
      <c r="C9" s="120"/>
      <c r="D9" s="25" t="s">
        <v>52</v>
      </c>
      <c r="E9" s="44" t="s">
        <v>70</v>
      </c>
      <c r="F9" s="126"/>
      <c r="G9" s="26" t="s">
        <v>70</v>
      </c>
      <c r="H9" s="26" t="s">
        <v>70</v>
      </c>
      <c r="I9" s="44" t="s">
        <v>70</v>
      </c>
      <c r="J9" s="44" t="s">
        <v>472</v>
      </c>
      <c r="K9" s="26" t="s">
        <v>165</v>
      </c>
      <c r="L9" s="26" t="s">
        <v>435</v>
      </c>
      <c r="M9" s="26" t="s">
        <v>145</v>
      </c>
      <c r="N9" s="26" t="s">
        <v>70</v>
      </c>
      <c r="O9" s="26" t="s">
        <v>70</v>
      </c>
      <c r="P9" s="26" t="s">
        <v>363</v>
      </c>
      <c r="Q9" s="26" t="s">
        <v>164</v>
      </c>
      <c r="R9" s="26" t="s">
        <v>435</v>
      </c>
      <c r="S9" s="26" t="s">
        <v>473</v>
      </c>
      <c r="T9" s="26" t="s">
        <v>228</v>
      </c>
      <c r="U9" s="26" t="s">
        <v>70</v>
      </c>
      <c r="V9" s="26" t="s">
        <v>70</v>
      </c>
      <c r="W9" s="26" t="s">
        <v>235</v>
      </c>
      <c r="X9" s="26" t="s">
        <v>84</v>
      </c>
      <c r="Y9" s="26" t="s">
        <v>104</v>
      </c>
      <c r="Z9" s="26" t="s">
        <v>222</v>
      </c>
      <c r="AA9" s="26" t="s">
        <v>87</v>
      </c>
      <c r="AB9" s="26" t="s">
        <v>70</v>
      </c>
      <c r="AC9" s="26" t="s">
        <v>70</v>
      </c>
      <c r="AD9" s="126"/>
      <c r="AE9" s="26" t="s">
        <v>361</v>
      </c>
      <c r="AF9" s="26" t="s">
        <v>235</v>
      </c>
      <c r="AG9" s="26" t="s">
        <v>228</v>
      </c>
      <c r="AH9" s="26" t="s">
        <v>400</v>
      </c>
      <c r="AI9" s="26" t="s">
        <v>70</v>
      </c>
      <c r="AJ9" s="112"/>
      <c r="AK9" s="106"/>
      <c r="AL9" s="194"/>
      <c r="AM9" s="195"/>
      <c r="AN9" s="111"/>
      <c r="AO9" s="181"/>
    </row>
    <row r="10" spans="1:68" ht="21.75" customHeight="1" thickTop="1" thickBot="1" x14ac:dyDescent="0.45">
      <c r="A10" s="157"/>
      <c r="B10" s="186" t="s">
        <v>53</v>
      </c>
      <c r="C10" s="120" t="s">
        <v>243</v>
      </c>
      <c r="D10" s="25" t="s">
        <v>51</v>
      </c>
      <c r="E10" s="44" t="s">
        <v>70</v>
      </c>
      <c r="F10" s="126" t="s">
        <v>463</v>
      </c>
      <c r="G10" s="26" t="s">
        <v>70</v>
      </c>
      <c r="H10" s="26" t="s">
        <v>70</v>
      </c>
      <c r="I10" s="44" t="s">
        <v>70</v>
      </c>
      <c r="J10" s="44" t="s">
        <v>70</v>
      </c>
      <c r="K10" s="26" t="s">
        <v>369</v>
      </c>
      <c r="L10" s="26" t="s">
        <v>124</v>
      </c>
      <c r="M10" s="26" t="s">
        <v>72</v>
      </c>
      <c r="N10" s="26" t="s">
        <v>70</v>
      </c>
      <c r="O10" s="26" t="s">
        <v>70</v>
      </c>
      <c r="P10" s="26" t="s">
        <v>156</v>
      </c>
      <c r="Q10" s="26" t="s">
        <v>488</v>
      </c>
      <c r="R10" s="26" t="s">
        <v>142</v>
      </c>
      <c r="S10" s="26" t="s">
        <v>124</v>
      </c>
      <c r="T10" s="26" t="s">
        <v>72</v>
      </c>
      <c r="U10" s="26" t="s">
        <v>70</v>
      </c>
      <c r="V10" s="26" t="s">
        <v>70</v>
      </c>
      <c r="W10" s="26" t="s">
        <v>137</v>
      </c>
      <c r="X10" s="26" t="s">
        <v>99</v>
      </c>
      <c r="Y10" s="26" t="s">
        <v>77</v>
      </c>
      <c r="Z10" s="26" t="s">
        <v>97</v>
      </c>
      <c r="AA10" s="26" t="s">
        <v>99</v>
      </c>
      <c r="AB10" s="26" t="s">
        <v>70</v>
      </c>
      <c r="AC10" s="26" t="s">
        <v>70</v>
      </c>
      <c r="AD10" s="26" t="s">
        <v>73</v>
      </c>
      <c r="AE10" s="26" t="s">
        <v>78</v>
      </c>
      <c r="AF10" s="26" t="s">
        <v>79</v>
      </c>
      <c r="AG10" s="26" t="s">
        <v>137</v>
      </c>
      <c r="AH10" s="77" t="s">
        <v>493</v>
      </c>
      <c r="AI10" s="26" t="s">
        <v>70</v>
      </c>
      <c r="AJ10" s="194" t="s">
        <v>496</v>
      </c>
      <c r="AK10" s="106"/>
      <c r="AL10" s="194" t="s">
        <v>496</v>
      </c>
      <c r="AM10" s="200"/>
      <c r="AN10" s="183">
        <f>(K10+L10+M10+P10+Q10+R10+S10+T10+W10+X10+Y10+Z10+AA10+AD10+AE10+AF10+AG10)/17</f>
        <v>0.35526960784313732</v>
      </c>
      <c r="AO10" s="181">
        <f>(K11+L11+M11+P11+Q11+R11+S11+T11+W11+X11+Z11+AA11+AD11+AE11+AF11+AG11+AH11)/17</f>
        <v>0.78161764705882375</v>
      </c>
    </row>
    <row r="11" spans="1:68" ht="21.75" customHeight="1" thickTop="1" thickBot="1" x14ac:dyDescent="0.45">
      <c r="A11" s="157"/>
      <c r="B11" s="186"/>
      <c r="C11" s="120"/>
      <c r="D11" s="25" t="s">
        <v>52</v>
      </c>
      <c r="E11" s="44" t="s">
        <v>70</v>
      </c>
      <c r="F11" s="126"/>
      <c r="G11" s="26" t="s">
        <v>70</v>
      </c>
      <c r="H11" s="26" t="s">
        <v>70</v>
      </c>
      <c r="I11" s="44" t="s">
        <v>70</v>
      </c>
      <c r="J11" s="44" t="s">
        <v>70</v>
      </c>
      <c r="K11" s="26" t="s">
        <v>201</v>
      </c>
      <c r="L11" s="26" t="s">
        <v>150</v>
      </c>
      <c r="M11" s="26" t="s">
        <v>312</v>
      </c>
      <c r="N11" s="26" t="s">
        <v>70</v>
      </c>
      <c r="O11" s="26" t="s">
        <v>70</v>
      </c>
      <c r="P11" s="26" t="s">
        <v>85</v>
      </c>
      <c r="Q11" s="26" t="s">
        <v>401</v>
      </c>
      <c r="R11" s="26" t="s">
        <v>88</v>
      </c>
      <c r="S11" s="26" t="s">
        <v>89</v>
      </c>
      <c r="T11" s="26" t="s">
        <v>101</v>
      </c>
      <c r="U11" s="26" t="s">
        <v>70</v>
      </c>
      <c r="V11" s="26" t="s">
        <v>70</v>
      </c>
      <c r="W11" s="26" t="s">
        <v>92</v>
      </c>
      <c r="X11" s="26" t="s">
        <v>312</v>
      </c>
      <c r="Y11" s="26" t="s">
        <v>489</v>
      </c>
      <c r="Z11" s="26" t="s">
        <v>307</v>
      </c>
      <c r="AA11" s="26" t="s">
        <v>123</v>
      </c>
      <c r="AB11" s="26" t="s">
        <v>70</v>
      </c>
      <c r="AC11" s="26" t="s">
        <v>70</v>
      </c>
      <c r="AD11" s="26" t="s">
        <v>123</v>
      </c>
      <c r="AE11" s="26" t="s">
        <v>92</v>
      </c>
      <c r="AF11" s="26" t="s">
        <v>92</v>
      </c>
      <c r="AG11" s="26" t="s">
        <v>312</v>
      </c>
      <c r="AH11" s="26" t="s">
        <v>84</v>
      </c>
      <c r="AI11" s="26" t="s">
        <v>70</v>
      </c>
      <c r="AJ11" s="194"/>
      <c r="AK11" s="106"/>
      <c r="AL11" s="194"/>
      <c r="AM11" s="200"/>
      <c r="AN11" s="111"/>
      <c r="AO11" s="181"/>
    </row>
    <row r="12" spans="1:68" ht="21.75" customHeight="1" thickTop="1" thickBot="1" x14ac:dyDescent="0.45">
      <c r="A12" s="157"/>
      <c r="B12" s="186" t="s">
        <v>56</v>
      </c>
      <c r="C12" s="120" t="s">
        <v>177</v>
      </c>
      <c r="D12" s="25" t="s">
        <v>51</v>
      </c>
      <c r="E12" s="44" t="s">
        <v>70</v>
      </c>
      <c r="F12" s="26" t="s">
        <v>78</v>
      </c>
      <c r="G12" s="26" t="s">
        <v>70</v>
      </c>
      <c r="H12" s="26" t="s">
        <v>70</v>
      </c>
      <c r="I12" s="44" t="s">
        <v>70</v>
      </c>
      <c r="J12" s="44" t="s">
        <v>70</v>
      </c>
      <c r="K12" s="26" t="s">
        <v>193</v>
      </c>
      <c r="L12" s="26" t="s">
        <v>96</v>
      </c>
      <c r="M12" s="26" t="s">
        <v>97</v>
      </c>
      <c r="N12" s="26" t="s">
        <v>70</v>
      </c>
      <c r="O12" s="26" t="s">
        <v>70</v>
      </c>
      <c r="P12" s="26" t="s">
        <v>96</v>
      </c>
      <c r="Q12" s="26" t="s">
        <v>97</v>
      </c>
      <c r="R12" s="26" t="s">
        <v>143</v>
      </c>
      <c r="S12" s="26" t="s">
        <v>137</v>
      </c>
      <c r="T12" s="26" t="s">
        <v>137</v>
      </c>
      <c r="U12" s="26" t="s">
        <v>70</v>
      </c>
      <c r="V12" s="26" t="s">
        <v>70</v>
      </c>
      <c r="W12" s="26" t="s">
        <v>143</v>
      </c>
      <c r="X12" s="26" t="s">
        <v>369</v>
      </c>
      <c r="Y12" s="26" t="s">
        <v>174</v>
      </c>
      <c r="Z12" s="26" t="s">
        <v>345</v>
      </c>
      <c r="AA12" s="26" t="s">
        <v>174</v>
      </c>
      <c r="AB12" s="26" t="s">
        <v>70</v>
      </c>
      <c r="AC12" s="26" t="s">
        <v>70</v>
      </c>
      <c r="AD12" s="26" t="s">
        <v>174</v>
      </c>
      <c r="AE12" s="26" t="s">
        <v>206</v>
      </c>
      <c r="AF12" s="26" t="s">
        <v>440</v>
      </c>
      <c r="AG12" s="26" t="s">
        <v>350</v>
      </c>
      <c r="AH12" s="26" t="s">
        <v>125</v>
      </c>
      <c r="AI12" s="26" t="s">
        <v>70</v>
      </c>
      <c r="AJ12" s="194" t="s">
        <v>495</v>
      </c>
      <c r="AK12" s="106"/>
      <c r="AL12" s="194"/>
      <c r="AM12" s="200"/>
      <c r="AN12" s="183">
        <f>(F12+K12+L12+M12+P12+Q12+R12+S12+T12+W12+X12+Y12+Z12+AA12+AD12+AE12+AF12+AG12+AH12)/19</f>
        <v>0.34524853801169603</v>
      </c>
      <c r="AO12" s="105">
        <f>(F13+K13+L13+M13+P13+Q13+R13+S13+T13+W13+X13+Z13+AA13+AD13+AE13+AF13+AG13+AH13)/18</f>
        <v>0.78236882716049383</v>
      </c>
    </row>
    <row r="13" spans="1:68" ht="21.75" customHeight="1" thickTop="1" thickBot="1" x14ac:dyDescent="0.45">
      <c r="A13" s="158"/>
      <c r="B13" s="186"/>
      <c r="C13" s="120"/>
      <c r="D13" s="25" t="s">
        <v>52</v>
      </c>
      <c r="E13" s="44" t="s">
        <v>70</v>
      </c>
      <c r="F13" s="26" t="s">
        <v>83</v>
      </c>
      <c r="G13" s="26" t="s">
        <v>70</v>
      </c>
      <c r="H13" s="26" t="s">
        <v>70</v>
      </c>
      <c r="I13" s="44" t="s">
        <v>70</v>
      </c>
      <c r="J13" s="44" t="s">
        <v>70</v>
      </c>
      <c r="K13" s="26" t="s">
        <v>165</v>
      </c>
      <c r="L13" s="26" t="s">
        <v>147</v>
      </c>
      <c r="M13" s="26" t="s">
        <v>150</v>
      </c>
      <c r="N13" s="26" t="s">
        <v>70</v>
      </c>
      <c r="O13" s="26" t="s">
        <v>70</v>
      </c>
      <c r="P13" s="26" t="s">
        <v>85</v>
      </c>
      <c r="Q13" s="26" t="s">
        <v>146</v>
      </c>
      <c r="R13" s="26" t="s">
        <v>103</v>
      </c>
      <c r="S13" s="26" t="s">
        <v>89</v>
      </c>
      <c r="T13" s="26" t="s">
        <v>89</v>
      </c>
      <c r="U13" s="26" t="s">
        <v>70</v>
      </c>
      <c r="V13" s="26" t="s">
        <v>70</v>
      </c>
      <c r="W13" s="26" t="s">
        <v>154</v>
      </c>
      <c r="X13" s="26" t="s">
        <v>115</v>
      </c>
      <c r="Y13" s="26" t="s">
        <v>277</v>
      </c>
      <c r="Z13" s="26" t="s">
        <v>158</v>
      </c>
      <c r="AA13" s="26" t="s">
        <v>90</v>
      </c>
      <c r="AB13" s="26" t="s">
        <v>70</v>
      </c>
      <c r="AC13" s="26" t="s">
        <v>70</v>
      </c>
      <c r="AD13" s="26" t="s">
        <v>150</v>
      </c>
      <c r="AE13" s="26" t="s">
        <v>92</v>
      </c>
      <c r="AF13" s="26" t="s">
        <v>103</v>
      </c>
      <c r="AG13" s="26" t="s">
        <v>102</v>
      </c>
      <c r="AH13" s="26" t="s">
        <v>169</v>
      </c>
      <c r="AI13" s="26" t="s">
        <v>70</v>
      </c>
      <c r="AJ13" s="194"/>
      <c r="AK13" s="106"/>
      <c r="AL13" s="194"/>
      <c r="AM13" s="200"/>
      <c r="AN13" s="111"/>
      <c r="AO13" s="181"/>
    </row>
    <row r="14" spans="1:68" ht="21.75" customHeight="1" x14ac:dyDescent="0.4">
      <c r="A14" s="30"/>
      <c r="B14" s="190" t="s">
        <v>56</v>
      </c>
      <c r="C14" s="120" t="s">
        <v>57</v>
      </c>
      <c r="D14" s="25" t="s">
        <v>51</v>
      </c>
      <c r="E14" s="44" t="s">
        <v>70</v>
      </c>
      <c r="F14" s="26" t="s">
        <v>135</v>
      </c>
      <c r="G14" s="26" t="s">
        <v>70</v>
      </c>
      <c r="H14" s="26" t="s">
        <v>70</v>
      </c>
      <c r="I14" s="44" t="s">
        <v>70</v>
      </c>
      <c r="J14" s="44" t="s">
        <v>70</v>
      </c>
      <c r="K14" s="26" t="s">
        <v>135</v>
      </c>
      <c r="L14" s="26" t="s">
        <v>121</v>
      </c>
      <c r="M14" s="26" t="s">
        <v>121</v>
      </c>
      <c r="N14" s="26" t="s">
        <v>70</v>
      </c>
      <c r="O14" s="26" t="s">
        <v>70</v>
      </c>
      <c r="P14" s="26" t="s">
        <v>79</v>
      </c>
      <c r="Q14" s="26" t="s">
        <v>121</v>
      </c>
      <c r="R14" s="26" t="s">
        <v>71</v>
      </c>
      <c r="S14" s="26" t="s">
        <v>135</v>
      </c>
      <c r="T14" s="26" t="s">
        <v>160</v>
      </c>
      <c r="U14" s="26" t="s">
        <v>70</v>
      </c>
      <c r="V14" s="26" t="s">
        <v>70</v>
      </c>
      <c r="W14" s="26" t="s">
        <v>160</v>
      </c>
      <c r="X14" s="26" t="s">
        <v>135</v>
      </c>
      <c r="Y14" s="26" t="s">
        <v>135</v>
      </c>
      <c r="Z14" s="26" t="s">
        <v>135</v>
      </c>
      <c r="AA14" s="26" t="s">
        <v>135</v>
      </c>
      <c r="AB14" s="26" t="s">
        <v>70</v>
      </c>
      <c r="AC14" s="26" t="s">
        <v>70</v>
      </c>
      <c r="AD14" s="26" t="s">
        <v>135</v>
      </c>
      <c r="AE14" s="26" t="s">
        <v>135</v>
      </c>
      <c r="AF14" s="26" t="s">
        <v>79</v>
      </c>
      <c r="AG14" s="26" t="s">
        <v>135</v>
      </c>
      <c r="AH14" s="26" t="s">
        <v>79</v>
      </c>
      <c r="AI14" s="26" t="s">
        <v>70</v>
      </c>
      <c r="AJ14" s="194"/>
      <c r="AK14" s="106"/>
      <c r="AL14" s="194"/>
      <c r="AM14" s="200"/>
      <c r="AN14" s="183">
        <f>(F14+K14+L14+M14+P14+Q14+R14+S14+T14+W14+X14+Y14+Z14+AA14+AD14+AE14+AF14+AG14+AH14)/19</f>
        <v>0.37039473684210539</v>
      </c>
      <c r="AO14" s="105">
        <f>(F15+K15+L15+M15+P15+Q15+R15+S15+T15+W15+X15+Z15+AA15+AD15+AE15+AF15+AG15+AH15)/18</f>
        <v>0.78248456790123455</v>
      </c>
    </row>
    <row r="15" spans="1:68" ht="21.75" customHeight="1" x14ac:dyDescent="0.4">
      <c r="A15" s="30"/>
      <c r="B15" s="186"/>
      <c r="C15" s="120"/>
      <c r="D15" s="25" t="s">
        <v>52</v>
      </c>
      <c r="E15" s="44" t="s">
        <v>70</v>
      </c>
      <c r="F15" s="26" t="s">
        <v>83</v>
      </c>
      <c r="G15" s="26" t="s">
        <v>70</v>
      </c>
      <c r="H15" s="26" t="s">
        <v>70</v>
      </c>
      <c r="I15" s="44" t="s">
        <v>70</v>
      </c>
      <c r="J15" s="44" t="s">
        <v>70</v>
      </c>
      <c r="K15" s="26" t="s">
        <v>165</v>
      </c>
      <c r="L15" s="26" t="s">
        <v>147</v>
      </c>
      <c r="M15" s="26" t="s">
        <v>150</v>
      </c>
      <c r="N15" s="26" t="s">
        <v>70</v>
      </c>
      <c r="O15" s="26" t="s">
        <v>70</v>
      </c>
      <c r="P15" s="26" t="s">
        <v>85</v>
      </c>
      <c r="Q15" s="26" t="s">
        <v>146</v>
      </c>
      <c r="R15" s="26" t="s">
        <v>83</v>
      </c>
      <c r="S15" s="26" t="s">
        <v>89</v>
      </c>
      <c r="T15" s="26" t="s">
        <v>89</v>
      </c>
      <c r="U15" s="26" t="s">
        <v>70</v>
      </c>
      <c r="V15" s="26" t="s">
        <v>70</v>
      </c>
      <c r="W15" s="26" t="s">
        <v>338</v>
      </c>
      <c r="X15" s="26" t="s">
        <v>115</v>
      </c>
      <c r="Y15" s="26" t="s">
        <v>277</v>
      </c>
      <c r="Z15" s="26" t="s">
        <v>147</v>
      </c>
      <c r="AA15" s="26" t="s">
        <v>90</v>
      </c>
      <c r="AB15" s="26" t="s">
        <v>70</v>
      </c>
      <c r="AC15" s="26" t="s">
        <v>70</v>
      </c>
      <c r="AD15" s="26" t="s">
        <v>150</v>
      </c>
      <c r="AE15" s="26" t="s">
        <v>92</v>
      </c>
      <c r="AF15" s="26" t="s">
        <v>103</v>
      </c>
      <c r="AG15" s="26" t="s">
        <v>102</v>
      </c>
      <c r="AH15" s="26" t="s">
        <v>169</v>
      </c>
      <c r="AI15" s="26" t="s">
        <v>70</v>
      </c>
      <c r="AJ15" s="194"/>
      <c r="AK15" s="106"/>
      <c r="AL15" s="194"/>
      <c r="AM15" s="200"/>
      <c r="AN15" s="111"/>
      <c r="AO15" s="181"/>
    </row>
    <row r="16" spans="1:68" ht="21.75" customHeight="1" x14ac:dyDescent="0.4">
      <c r="A16" s="30"/>
      <c r="B16" s="190" t="s">
        <v>56</v>
      </c>
      <c r="C16" s="120" t="s">
        <v>426</v>
      </c>
      <c r="D16" s="25" t="s">
        <v>51</v>
      </c>
      <c r="E16" s="44" t="s">
        <v>70</v>
      </c>
      <c r="F16" s="26" t="s">
        <v>72</v>
      </c>
      <c r="G16" s="26" t="s">
        <v>70</v>
      </c>
      <c r="H16" s="26" t="s">
        <v>70</v>
      </c>
      <c r="I16" s="44" t="s">
        <v>70</v>
      </c>
      <c r="J16" s="44" t="s">
        <v>70</v>
      </c>
      <c r="K16" s="26" t="s">
        <v>134</v>
      </c>
      <c r="L16" s="26" t="s">
        <v>121</v>
      </c>
      <c r="M16" s="26" t="s">
        <v>78</v>
      </c>
      <c r="N16" s="26" t="s">
        <v>70</v>
      </c>
      <c r="O16" s="26" t="s">
        <v>70</v>
      </c>
      <c r="P16" s="26" t="s">
        <v>93</v>
      </c>
      <c r="Q16" s="26" t="s">
        <v>76</v>
      </c>
      <c r="R16" s="26" t="s">
        <v>76</v>
      </c>
      <c r="S16" s="26" t="s">
        <v>72</v>
      </c>
      <c r="T16" s="26" t="s">
        <v>74</v>
      </c>
      <c r="U16" s="26" t="s">
        <v>70</v>
      </c>
      <c r="V16" s="26" t="s">
        <v>70</v>
      </c>
      <c r="W16" s="26" t="s">
        <v>95</v>
      </c>
      <c r="X16" s="26" t="s">
        <v>120</v>
      </c>
      <c r="Y16" s="26" t="s">
        <v>79</v>
      </c>
      <c r="Z16" s="26" t="s">
        <v>119</v>
      </c>
      <c r="AA16" s="26" t="s">
        <v>142</v>
      </c>
      <c r="AB16" s="26" t="s">
        <v>70</v>
      </c>
      <c r="AC16" s="26" t="s">
        <v>70</v>
      </c>
      <c r="AD16" s="26" t="s">
        <v>76</v>
      </c>
      <c r="AE16" s="26" t="s">
        <v>69</v>
      </c>
      <c r="AF16" s="26" t="s">
        <v>93</v>
      </c>
      <c r="AG16" s="26" t="s">
        <v>152</v>
      </c>
      <c r="AH16" s="26" t="s">
        <v>99</v>
      </c>
      <c r="AI16" s="26" t="s">
        <v>70</v>
      </c>
      <c r="AJ16" s="194"/>
      <c r="AK16" s="106"/>
      <c r="AL16" s="194"/>
      <c r="AM16" s="200">
        <v>1</v>
      </c>
      <c r="AN16" s="111">
        <f>(K16+L16+M16+P16+Q16+R16+S16+T16+W16+X16+Y16+Z16+AA16+AD16+AE16+AF16+AG16+AH16)/18</f>
        <v>0.36253858024691366</v>
      </c>
      <c r="AO16" s="181">
        <f>(K17+M17+P17+Q17+R17+S17+T17+W17+X17+Z17+AA17+AD17+AE17+AF17+AH17)/15</f>
        <v>0.77657407407407419</v>
      </c>
    </row>
    <row r="17" spans="1:41" ht="21.75" customHeight="1" thickBot="1" x14ac:dyDescent="0.45">
      <c r="A17" s="30"/>
      <c r="B17" s="187"/>
      <c r="C17" s="121"/>
      <c r="D17" s="31" t="s">
        <v>52</v>
      </c>
      <c r="E17" s="45" t="s">
        <v>70</v>
      </c>
      <c r="F17" s="32" t="s">
        <v>92</v>
      </c>
      <c r="G17" s="32" t="s">
        <v>70</v>
      </c>
      <c r="H17" s="32" t="s">
        <v>70</v>
      </c>
      <c r="I17" s="45" t="s">
        <v>70</v>
      </c>
      <c r="J17" s="45" t="s">
        <v>70</v>
      </c>
      <c r="K17" s="32" t="s">
        <v>141</v>
      </c>
      <c r="L17" s="63" t="s">
        <v>279</v>
      </c>
      <c r="M17" s="32" t="s">
        <v>150</v>
      </c>
      <c r="N17" s="32" t="s">
        <v>70</v>
      </c>
      <c r="O17" s="32" t="s">
        <v>70</v>
      </c>
      <c r="P17" s="32" t="s">
        <v>88</v>
      </c>
      <c r="Q17" s="32" t="s">
        <v>101</v>
      </c>
      <c r="R17" s="32" t="s">
        <v>80</v>
      </c>
      <c r="S17" s="32" t="s">
        <v>88</v>
      </c>
      <c r="T17" s="32" t="s">
        <v>88</v>
      </c>
      <c r="U17" s="32" t="s">
        <v>70</v>
      </c>
      <c r="V17" s="32" t="s">
        <v>70</v>
      </c>
      <c r="W17" s="32" t="s">
        <v>89</v>
      </c>
      <c r="X17" s="32" t="s">
        <v>326</v>
      </c>
      <c r="Y17" s="32" t="s">
        <v>255</v>
      </c>
      <c r="Z17" s="32" t="s">
        <v>86</v>
      </c>
      <c r="AA17" s="32" t="s">
        <v>123</v>
      </c>
      <c r="AB17" s="32" t="s">
        <v>70</v>
      </c>
      <c r="AC17" s="32" t="s">
        <v>70</v>
      </c>
      <c r="AD17" s="32" t="s">
        <v>102</v>
      </c>
      <c r="AE17" s="32" t="s">
        <v>80</v>
      </c>
      <c r="AF17" s="32" t="s">
        <v>312</v>
      </c>
      <c r="AG17" s="63" t="s">
        <v>279</v>
      </c>
      <c r="AH17" s="32" t="s">
        <v>90</v>
      </c>
      <c r="AI17" s="32" t="s">
        <v>70</v>
      </c>
      <c r="AJ17" s="196"/>
      <c r="AK17" s="167"/>
      <c r="AL17" s="196"/>
      <c r="AM17" s="201"/>
      <c r="AN17" s="188"/>
      <c r="AO17" s="189"/>
    </row>
    <row r="18" spans="1:41" ht="21.75" customHeight="1" x14ac:dyDescent="0.4">
      <c r="A18" s="115" t="s">
        <v>58</v>
      </c>
      <c r="B18" s="190" t="s">
        <v>59</v>
      </c>
      <c r="C18" s="159" t="s">
        <v>60</v>
      </c>
      <c r="D18" s="33" t="s">
        <v>51</v>
      </c>
      <c r="E18" s="43" t="s">
        <v>70</v>
      </c>
      <c r="F18" s="34" t="s">
        <v>138</v>
      </c>
      <c r="G18" s="34" t="s">
        <v>70</v>
      </c>
      <c r="H18" s="34" t="s">
        <v>70</v>
      </c>
      <c r="I18" s="43"/>
      <c r="J18" s="43" t="s">
        <v>70</v>
      </c>
      <c r="K18" s="34" t="s">
        <v>476</v>
      </c>
      <c r="L18" s="34" t="s">
        <v>180</v>
      </c>
      <c r="M18" s="34" t="s">
        <v>231</v>
      </c>
      <c r="N18" s="34" t="s">
        <v>70</v>
      </c>
      <c r="O18" s="34" t="s">
        <v>70</v>
      </c>
      <c r="P18" s="34" t="s">
        <v>263</v>
      </c>
      <c r="Q18" s="34" t="s">
        <v>231</v>
      </c>
      <c r="R18" s="34" t="s">
        <v>125</v>
      </c>
      <c r="S18" s="34" t="s">
        <v>108</v>
      </c>
      <c r="T18" s="34" t="s">
        <v>138</v>
      </c>
      <c r="U18" s="34" t="s">
        <v>70</v>
      </c>
      <c r="V18" s="34" t="s">
        <v>70</v>
      </c>
      <c r="W18" s="34" t="s">
        <v>236</v>
      </c>
      <c r="X18" s="34" t="s">
        <v>371</v>
      </c>
      <c r="Y18" s="34" t="s">
        <v>125</v>
      </c>
      <c r="Z18" s="34" t="s">
        <v>138</v>
      </c>
      <c r="AA18" s="34" t="s">
        <v>138</v>
      </c>
      <c r="AB18" s="34" t="s">
        <v>70</v>
      </c>
      <c r="AC18" s="34" t="s">
        <v>70</v>
      </c>
      <c r="AD18" s="34" t="s">
        <v>265</v>
      </c>
      <c r="AE18" s="34" t="s">
        <v>138</v>
      </c>
      <c r="AF18" s="34" t="s">
        <v>265</v>
      </c>
      <c r="AG18" s="34" t="s">
        <v>477</v>
      </c>
      <c r="AH18" s="34" t="s">
        <v>477</v>
      </c>
      <c r="AI18" s="34" t="s">
        <v>70</v>
      </c>
      <c r="AJ18" s="160" t="s">
        <v>497</v>
      </c>
      <c r="AK18" s="166"/>
      <c r="AL18" s="108" t="s">
        <v>495</v>
      </c>
      <c r="AM18" s="110"/>
      <c r="AN18" s="183">
        <f>(F18+K18+L18+M18+P18+Q18+R18+S18+T18+W18+X18+Y18+Z18+AA18+AD18+AE18+AF18+AG18+AH18)/19</f>
        <v>0.31794590643274862</v>
      </c>
      <c r="AO18" s="105">
        <f>(F19+K19+L19+M19+P19+Q19+R19+S19+T19+W19+X19+Z19+AA19+AD19+AE19+AF19+AG19+AH19)/18</f>
        <v>0.80489969135802453</v>
      </c>
    </row>
    <row r="19" spans="1:41" ht="21.75" customHeight="1" x14ac:dyDescent="0.4">
      <c r="A19" s="116"/>
      <c r="B19" s="186"/>
      <c r="C19" s="120"/>
      <c r="D19" s="25" t="s">
        <v>52</v>
      </c>
      <c r="E19" s="44" t="s">
        <v>70</v>
      </c>
      <c r="F19" s="26" t="s">
        <v>146</v>
      </c>
      <c r="G19" s="26" t="s">
        <v>70</v>
      </c>
      <c r="H19" s="26" t="s">
        <v>70</v>
      </c>
      <c r="I19" s="44"/>
      <c r="J19" s="44" t="s">
        <v>70</v>
      </c>
      <c r="K19" s="26" t="s">
        <v>201</v>
      </c>
      <c r="L19" s="26" t="s">
        <v>338</v>
      </c>
      <c r="M19" s="26" t="s">
        <v>295</v>
      </c>
      <c r="N19" s="26" t="s">
        <v>70</v>
      </c>
      <c r="O19" s="26" t="s">
        <v>70</v>
      </c>
      <c r="P19" s="26" t="s">
        <v>144</v>
      </c>
      <c r="Q19" s="26" t="s">
        <v>310</v>
      </c>
      <c r="R19" s="26" t="s">
        <v>478</v>
      </c>
      <c r="S19" s="26" t="s">
        <v>82</v>
      </c>
      <c r="T19" s="26" t="s">
        <v>305</v>
      </c>
      <c r="U19" s="26" t="s">
        <v>70</v>
      </c>
      <c r="V19" s="26" t="s">
        <v>70</v>
      </c>
      <c r="W19" s="26" t="s">
        <v>305</v>
      </c>
      <c r="X19" s="26" t="s">
        <v>81</v>
      </c>
      <c r="Y19" s="26" t="s">
        <v>132</v>
      </c>
      <c r="Z19" s="26" t="s">
        <v>307</v>
      </c>
      <c r="AA19" s="26" t="s">
        <v>185</v>
      </c>
      <c r="AB19" s="26" t="s">
        <v>70</v>
      </c>
      <c r="AC19" s="26" t="s">
        <v>70</v>
      </c>
      <c r="AD19" s="26" t="s">
        <v>144</v>
      </c>
      <c r="AE19" s="26" t="s">
        <v>98</v>
      </c>
      <c r="AF19" s="26" t="s">
        <v>126</v>
      </c>
      <c r="AG19" s="26" t="s">
        <v>88</v>
      </c>
      <c r="AH19" s="26" t="s">
        <v>126</v>
      </c>
      <c r="AI19" s="26" t="s">
        <v>70</v>
      </c>
      <c r="AJ19" s="127"/>
      <c r="AK19" s="106"/>
      <c r="AL19" s="194"/>
      <c r="AM19" s="195"/>
      <c r="AN19" s="111"/>
      <c r="AO19" s="181"/>
    </row>
    <row r="20" spans="1:41" ht="21.75" customHeight="1" x14ac:dyDescent="0.4">
      <c r="A20" s="116"/>
      <c r="B20" s="186" t="s">
        <v>53</v>
      </c>
      <c r="C20" s="120" t="s">
        <v>61</v>
      </c>
      <c r="D20" s="25" t="s">
        <v>51</v>
      </c>
      <c r="E20" s="44" t="s">
        <v>70</v>
      </c>
      <c r="F20" s="26" t="s">
        <v>303</v>
      </c>
      <c r="G20" s="26" t="s">
        <v>70</v>
      </c>
      <c r="H20" s="26" t="s">
        <v>70</v>
      </c>
      <c r="I20" s="44" t="s">
        <v>70</v>
      </c>
      <c r="J20" s="44" t="s">
        <v>70</v>
      </c>
      <c r="K20" s="26" t="s">
        <v>78</v>
      </c>
      <c r="L20" s="26" t="s">
        <v>99</v>
      </c>
      <c r="M20" s="26" t="s">
        <v>124</v>
      </c>
      <c r="N20" s="26" t="s">
        <v>70</v>
      </c>
      <c r="O20" s="26" t="s">
        <v>70</v>
      </c>
      <c r="P20" s="126" t="s">
        <v>176</v>
      </c>
      <c r="Q20" s="26" t="s">
        <v>139</v>
      </c>
      <c r="R20" s="26" t="s">
        <v>215</v>
      </c>
      <c r="S20" s="26" t="s">
        <v>137</v>
      </c>
      <c r="T20" s="26" t="s">
        <v>369</v>
      </c>
      <c r="U20" s="26" t="s">
        <v>70</v>
      </c>
      <c r="V20" s="26" t="s">
        <v>70</v>
      </c>
      <c r="W20" s="126" t="s">
        <v>176</v>
      </c>
      <c r="X20" s="26" t="s">
        <v>142</v>
      </c>
      <c r="Y20" s="26" t="s">
        <v>197</v>
      </c>
      <c r="Z20" s="126" t="s">
        <v>176</v>
      </c>
      <c r="AA20" s="26" t="s">
        <v>197</v>
      </c>
      <c r="AB20" s="26" t="s">
        <v>70</v>
      </c>
      <c r="AC20" s="26" t="s">
        <v>70</v>
      </c>
      <c r="AD20" s="126" t="s">
        <v>176</v>
      </c>
      <c r="AE20" s="26" t="s">
        <v>77</v>
      </c>
      <c r="AF20" s="26" t="s">
        <v>187</v>
      </c>
      <c r="AG20" s="26" t="s">
        <v>207</v>
      </c>
      <c r="AH20" s="26" t="s">
        <v>300</v>
      </c>
      <c r="AI20" s="26" t="s">
        <v>70</v>
      </c>
      <c r="AJ20" s="127"/>
      <c r="AK20" s="106"/>
      <c r="AL20" s="194" t="s">
        <v>498</v>
      </c>
      <c r="AM20" s="195">
        <v>4</v>
      </c>
      <c r="AN20" s="111">
        <f>(F20+K20+L20+M20+Q20+R20+S20+T20+X20+Y20+AA20+AE20+AF20+AG20+AH20)/15</f>
        <v>0.34583333333333338</v>
      </c>
      <c r="AO20" s="181">
        <f>(F21+K21+L21+M21+Q21+R21+S21+T21+X21+AA21+AE21+AF21+AG21+AH21)/14</f>
        <v>0.80649801587301595</v>
      </c>
    </row>
    <row r="21" spans="1:41" ht="21.75" customHeight="1" x14ac:dyDescent="0.4">
      <c r="A21" s="116"/>
      <c r="B21" s="186"/>
      <c r="C21" s="120"/>
      <c r="D21" s="25" t="s">
        <v>52</v>
      </c>
      <c r="E21" s="44" t="s">
        <v>70</v>
      </c>
      <c r="F21" s="26" t="s">
        <v>80</v>
      </c>
      <c r="G21" s="26" t="s">
        <v>70</v>
      </c>
      <c r="H21" s="26" t="s">
        <v>70</v>
      </c>
      <c r="I21" s="44" t="s">
        <v>70</v>
      </c>
      <c r="J21" s="44" t="s">
        <v>70</v>
      </c>
      <c r="K21" s="26" t="s">
        <v>307</v>
      </c>
      <c r="L21" s="26" t="s">
        <v>169</v>
      </c>
      <c r="M21" s="26" t="s">
        <v>479</v>
      </c>
      <c r="N21" s="26" t="s">
        <v>70</v>
      </c>
      <c r="O21" s="26" t="s">
        <v>70</v>
      </c>
      <c r="P21" s="126"/>
      <c r="Q21" s="26" t="s">
        <v>146</v>
      </c>
      <c r="R21" s="26" t="s">
        <v>454</v>
      </c>
      <c r="S21" s="26" t="s">
        <v>452</v>
      </c>
      <c r="T21" s="26" t="s">
        <v>147</v>
      </c>
      <c r="U21" s="26" t="s">
        <v>70</v>
      </c>
      <c r="V21" s="26" t="s">
        <v>70</v>
      </c>
      <c r="W21" s="126"/>
      <c r="X21" s="26" t="s">
        <v>85</v>
      </c>
      <c r="Y21" s="26" t="s">
        <v>340</v>
      </c>
      <c r="Z21" s="126"/>
      <c r="AA21" s="26" t="s">
        <v>480</v>
      </c>
      <c r="AB21" s="26" t="s">
        <v>70</v>
      </c>
      <c r="AC21" s="26" t="s">
        <v>70</v>
      </c>
      <c r="AD21" s="126"/>
      <c r="AE21" s="26" t="s">
        <v>80</v>
      </c>
      <c r="AF21" s="26" t="s">
        <v>88</v>
      </c>
      <c r="AG21" s="26" t="s">
        <v>90</v>
      </c>
      <c r="AH21" s="26" t="s">
        <v>151</v>
      </c>
      <c r="AI21" s="26" t="s">
        <v>70</v>
      </c>
      <c r="AJ21" s="127"/>
      <c r="AK21" s="106"/>
      <c r="AL21" s="194"/>
      <c r="AM21" s="195"/>
      <c r="AN21" s="111"/>
      <c r="AO21" s="181"/>
    </row>
    <row r="22" spans="1:41" ht="22.5" customHeight="1" x14ac:dyDescent="0.4">
      <c r="A22" s="116"/>
      <c r="B22" s="186" t="s">
        <v>56</v>
      </c>
      <c r="C22" s="120" t="s">
        <v>32</v>
      </c>
      <c r="D22" s="25" t="s">
        <v>51</v>
      </c>
      <c r="E22" s="44" t="s">
        <v>70</v>
      </c>
      <c r="F22" s="26" t="s">
        <v>73</v>
      </c>
      <c r="G22" s="26" t="s">
        <v>70</v>
      </c>
      <c r="H22" s="26" t="s">
        <v>70</v>
      </c>
      <c r="I22" s="44" t="s">
        <v>70</v>
      </c>
      <c r="J22" s="44" t="s">
        <v>70</v>
      </c>
      <c r="K22" s="26" t="s">
        <v>69</v>
      </c>
      <c r="L22" s="26" t="s">
        <v>71</v>
      </c>
      <c r="M22" s="26" t="s">
        <v>72</v>
      </c>
      <c r="N22" s="26" t="s">
        <v>70</v>
      </c>
      <c r="O22" s="26" t="s">
        <v>70</v>
      </c>
      <c r="P22" s="26" t="s">
        <v>73</v>
      </c>
      <c r="Q22" s="26" t="s">
        <v>75</v>
      </c>
      <c r="R22" s="26" t="s">
        <v>69</v>
      </c>
      <c r="S22" s="26" t="s">
        <v>120</v>
      </c>
      <c r="T22" s="26" t="s">
        <v>75</v>
      </c>
      <c r="U22" s="26" t="s">
        <v>70</v>
      </c>
      <c r="V22" s="26" t="s">
        <v>70</v>
      </c>
      <c r="W22" s="26" t="s">
        <v>72</v>
      </c>
      <c r="X22" s="26" t="s">
        <v>73</v>
      </c>
      <c r="Y22" s="26" t="s">
        <v>72</v>
      </c>
      <c r="Z22" s="26" t="s">
        <v>69</v>
      </c>
      <c r="AA22" s="26" t="s">
        <v>73</v>
      </c>
      <c r="AB22" s="26" t="s">
        <v>70</v>
      </c>
      <c r="AC22" s="26" t="s">
        <v>70</v>
      </c>
      <c r="AD22" s="26" t="s">
        <v>119</v>
      </c>
      <c r="AE22" s="26" t="s">
        <v>79</v>
      </c>
      <c r="AF22" s="26" t="s">
        <v>75</v>
      </c>
      <c r="AG22" s="26" t="s">
        <v>68</v>
      </c>
      <c r="AH22" s="26" t="s">
        <v>75</v>
      </c>
      <c r="AI22" s="26" t="s">
        <v>70</v>
      </c>
      <c r="AJ22" s="112"/>
      <c r="AK22" s="106"/>
      <c r="AL22" s="194"/>
      <c r="AM22" s="195">
        <v>0.5</v>
      </c>
      <c r="AN22" s="183">
        <f>(F22+K22+L22+M22+P22+Q22+R22+S22+T22+W22+X22+Y22+Z22+AA22+AD22+AE22+AF22+AG22+AH22)/19</f>
        <v>0.36513157894736842</v>
      </c>
      <c r="AO22" s="181">
        <f>(F23+K23+L23+M23+P23+Q23+R23+S23+T23+W23+X23+Z23+AA23+AD23+AE23+AF23+AG23)/17</f>
        <v>0.7749999999999998</v>
      </c>
    </row>
    <row r="23" spans="1:41" ht="21.75" customHeight="1" x14ac:dyDescent="0.4">
      <c r="A23" s="116"/>
      <c r="B23" s="186"/>
      <c r="C23" s="120"/>
      <c r="D23" s="25" t="s">
        <v>52</v>
      </c>
      <c r="E23" s="44" t="s">
        <v>70</v>
      </c>
      <c r="F23" s="26" t="s">
        <v>80</v>
      </c>
      <c r="G23" s="26" t="s">
        <v>70</v>
      </c>
      <c r="H23" s="26" t="s">
        <v>70</v>
      </c>
      <c r="I23" s="44" t="s">
        <v>70</v>
      </c>
      <c r="J23" s="44" t="s">
        <v>70</v>
      </c>
      <c r="K23" s="26" t="s">
        <v>85</v>
      </c>
      <c r="L23" s="26" t="s">
        <v>91</v>
      </c>
      <c r="M23" s="26" t="s">
        <v>150</v>
      </c>
      <c r="N23" s="26" t="s">
        <v>70</v>
      </c>
      <c r="O23" s="26" t="s">
        <v>70</v>
      </c>
      <c r="P23" s="26" t="s">
        <v>312</v>
      </c>
      <c r="Q23" s="26" t="s">
        <v>89</v>
      </c>
      <c r="R23" s="26" t="s">
        <v>101</v>
      </c>
      <c r="S23" s="26" t="s">
        <v>123</v>
      </c>
      <c r="T23" s="26" t="s">
        <v>158</v>
      </c>
      <c r="U23" s="26" t="s">
        <v>70</v>
      </c>
      <c r="V23" s="26" t="s">
        <v>70</v>
      </c>
      <c r="W23" s="26" t="s">
        <v>151</v>
      </c>
      <c r="X23" s="26" t="s">
        <v>89</v>
      </c>
      <c r="Y23" s="26" t="s">
        <v>340</v>
      </c>
      <c r="Z23" s="26" t="s">
        <v>88</v>
      </c>
      <c r="AA23" s="26" t="s">
        <v>101</v>
      </c>
      <c r="AB23" s="26" t="s">
        <v>70</v>
      </c>
      <c r="AC23" s="26" t="s">
        <v>70</v>
      </c>
      <c r="AD23" s="26" t="s">
        <v>88</v>
      </c>
      <c r="AE23" s="26" t="s">
        <v>88</v>
      </c>
      <c r="AF23" s="26" t="s">
        <v>88</v>
      </c>
      <c r="AG23" s="26" t="s">
        <v>102</v>
      </c>
      <c r="AH23" s="41" t="s">
        <v>279</v>
      </c>
      <c r="AI23" s="26" t="s">
        <v>70</v>
      </c>
      <c r="AJ23" s="112"/>
      <c r="AK23" s="106"/>
      <c r="AL23" s="194"/>
      <c r="AM23" s="195"/>
      <c r="AN23" s="111"/>
      <c r="AO23" s="181"/>
    </row>
    <row r="24" spans="1:41" ht="21.75" customHeight="1" x14ac:dyDescent="0.4">
      <c r="A24" s="116"/>
      <c r="B24" s="186" t="s">
        <v>56</v>
      </c>
      <c r="C24" s="120" t="s">
        <v>219</v>
      </c>
      <c r="D24" s="25" t="s">
        <v>51</v>
      </c>
      <c r="E24" s="44" t="s">
        <v>70</v>
      </c>
      <c r="F24" s="26" t="s">
        <v>179</v>
      </c>
      <c r="G24" s="26" t="s">
        <v>70</v>
      </c>
      <c r="H24" s="26" t="s">
        <v>70</v>
      </c>
      <c r="I24" s="44" t="s">
        <v>70</v>
      </c>
      <c r="J24" s="44" t="s">
        <v>70</v>
      </c>
      <c r="K24" s="26" t="s">
        <v>79</v>
      </c>
      <c r="L24" s="26" t="s">
        <v>71</v>
      </c>
      <c r="M24" s="126" t="s">
        <v>176</v>
      </c>
      <c r="N24" s="26" t="s">
        <v>70</v>
      </c>
      <c r="O24" s="26" t="s">
        <v>70</v>
      </c>
      <c r="P24" s="26" t="s">
        <v>179</v>
      </c>
      <c r="Q24" s="26" t="s">
        <v>76</v>
      </c>
      <c r="R24" s="26" t="s">
        <v>94</v>
      </c>
      <c r="S24" s="26" t="s">
        <v>78</v>
      </c>
      <c r="T24" s="26" t="s">
        <v>69</v>
      </c>
      <c r="U24" s="26" t="s">
        <v>70</v>
      </c>
      <c r="V24" s="26" t="s">
        <v>70</v>
      </c>
      <c r="W24" s="26" t="s">
        <v>143</v>
      </c>
      <c r="X24" s="26" t="s">
        <v>71</v>
      </c>
      <c r="Y24" s="26" t="s">
        <v>69</v>
      </c>
      <c r="Z24" s="26" t="s">
        <v>179</v>
      </c>
      <c r="AA24" s="26" t="s">
        <v>72</v>
      </c>
      <c r="AB24" s="26" t="s">
        <v>70</v>
      </c>
      <c r="AC24" s="26" t="s">
        <v>70</v>
      </c>
      <c r="AD24" s="26" t="s">
        <v>95</v>
      </c>
      <c r="AE24" s="26" t="s">
        <v>100</v>
      </c>
      <c r="AF24" s="26" t="s">
        <v>93</v>
      </c>
      <c r="AG24" s="26" t="s">
        <v>73</v>
      </c>
      <c r="AH24" s="26" t="s">
        <v>99</v>
      </c>
      <c r="AI24" s="26" t="s">
        <v>70</v>
      </c>
      <c r="AJ24" s="160"/>
      <c r="AK24" s="106"/>
      <c r="AL24" s="194"/>
      <c r="AM24" s="195">
        <v>1</v>
      </c>
      <c r="AN24" s="111">
        <f>(F24+K24+L24+P24+Q24+R24+S24+T24+W24+X24+Y24+Z24+AA24+AD24+AE24+AF24+AG24+AH24)/18</f>
        <v>0.36176697530864194</v>
      </c>
      <c r="AO24" s="105">
        <f>(F25+K25+L25+P25+Q25+R25+S25+T25+W25+X25+Z25+AA25+AD25+AE25+AF25+AG25+AH25)/17</f>
        <v>0.77389705882352933</v>
      </c>
    </row>
    <row r="25" spans="1:41" ht="21.75" customHeight="1" x14ac:dyDescent="0.4">
      <c r="A25" s="116"/>
      <c r="B25" s="216"/>
      <c r="C25" s="217"/>
      <c r="D25" s="74" t="s">
        <v>52</v>
      </c>
      <c r="E25" s="44" t="s">
        <v>70</v>
      </c>
      <c r="F25" s="26" t="s">
        <v>101</v>
      </c>
      <c r="G25" s="26" t="s">
        <v>70</v>
      </c>
      <c r="H25" s="26" t="s">
        <v>70</v>
      </c>
      <c r="I25" s="44" t="s">
        <v>70</v>
      </c>
      <c r="J25" s="44" t="s">
        <v>70</v>
      </c>
      <c r="K25" s="26" t="s">
        <v>85</v>
      </c>
      <c r="L25" s="26" t="s">
        <v>103</v>
      </c>
      <c r="M25" s="126"/>
      <c r="N25" s="26" t="s">
        <v>70</v>
      </c>
      <c r="O25" s="26" t="s">
        <v>70</v>
      </c>
      <c r="P25" s="26" t="s">
        <v>88</v>
      </c>
      <c r="Q25" s="26" t="s">
        <v>88</v>
      </c>
      <c r="R25" s="26" t="s">
        <v>85</v>
      </c>
      <c r="S25" s="26" t="s">
        <v>90</v>
      </c>
      <c r="T25" s="26" t="s">
        <v>90</v>
      </c>
      <c r="U25" s="26" t="s">
        <v>70</v>
      </c>
      <c r="V25" s="26" t="s">
        <v>70</v>
      </c>
      <c r="W25" s="26" t="s">
        <v>83</v>
      </c>
      <c r="X25" s="26" t="s">
        <v>89</v>
      </c>
      <c r="Y25" s="26" t="s">
        <v>487</v>
      </c>
      <c r="Z25" s="26" t="s">
        <v>80</v>
      </c>
      <c r="AA25" s="26" t="s">
        <v>102</v>
      </c>
      <c r="AB25" s="26" t="s">
        <v>70</v>
      </c>
      <c r="AC25" s="26" t="s">
        <v>70</v>
      </c>
      <c r="AD25" s="26" t="s">
        <v>80</v>
      </c>
      <c r="AE25" s="26" t="s">
        <v>102</v>
      </c>
      <c r="AF25" s="26" t="s">
        <v>88</v>
      </c>
      <c r="AG25" s="26" t="s">
        <v>88</v>
      </c>
      <c r="AH25" s="26" t="s">
        <v>88</v>
      </c>
      <c r="AI25" s="26" t="s">
        <v>70</v>
      </c>
      <c r="AJ25" s="218"/>
      <c r="AK25" s="169"/>
      <c r="AL25" s="107"/>
      <c r="AM25" s="172"/>
      <c r="AN25" s="111"/>
      <c r="AO25" s="128"/>
    </row>
    <row r="26" spans="1:41" ht="21.75" customHeight="1" x14ac:dyDescent="0.4">
      <c r="A26" s="116"/>
      <c r="B26" s="118" t="s">
        <v>56</v>
      </c>
      <c r="C26" s="120" t="s">
        <v>242</v>
      </c>
      <c r="D26" s="25" t="s">
        <v>51</v>
      </c>
      <c r="E26" s="44" t="s">
        <v>70</v>
      </c>
      <c r="F26" s="26" t="s">
        <v>160</v>
      </c>
      <c r="G26" s="26" t="s">
        <v>70</v>
      </c>
      <c r="H26" s="26" t="s">
        <v>70</v>
      </c>
      <c r="I26" s="44" t="s">
        <v>70</v>
      </c>
      <c r="J26" s="44" t="s">
        <v>70</v>
      </c>
      <c r="K26" s="26" t="s">
        <v>120</v>
      </c>
      <c r="L26" s="26" t="s">
        <v>156</v>
      </c>
      <c r="M26" s="26" t="s">
        <v>120</v>
      </c>
      <c r="N26" s="26" t="s">
        <v>70</v>
      </c>
      <c r="O26" s="26" t="s">
        <v>70</v>
      </c>
      <c r="P26" s="26" t="s">
        <v>156</v>
      </c>
      <c r="Q26" s="26" t="s">
        <v>121</v>
      </c>
      <c r="R26" s="26" t="s">
        <v>121</v>
      </c>
      <c r="S26" s="26" t="s">
        <v>120</v>
      </c>
      <c r="T26" s="26" t="s">
        <v>121</v>
      </c>
      <c r="U26" s="26" t="s">
        <v>70</v>
      </c>
      <c r="V26" s="26" t="s">
        <v>70</v>
      </c>
      <c r="W26" s="26" t="s">
        <v>71</v>
      </c>
      <c r="X26" s="26" t="s">
        <v>122</v>
      </c>
      <c r="Y26" s="26" t="s">
        <v>69</v>
      </c>
      <c r="Z26" s="26" t="s">
        <v>71</v>
      </c>
      <c r="AA26" s="26" t="s">
        <v>152</v>
      </c>
      <c r="AB26" s="26" t="s">
        <v>70</v>
      </c>
      <c r="AC26" s="26" t="s">
        <v>70</v>
      </c>
      <c r="AD26" s="26" t="s">
        <v>156</v>
      </c>
      <c r="AE26" s="26" t="s">
        <v>79</v>
      </c>
      <c r="AF26" s="26" t="s">
        <v>149</v>
      </c>
      <c r="AG26" s="26" t="s">
        <v>75</v>
      </c>
      <c r="AH26" s="26" t="s">
        <v>156</v>
      </c>
      <c r="AI26" s="26" t="s">
        <v>70</v>
      </c>
      <c r="AJ26" s="112"/>
      <c r="AK26" s="106"/>
      <c r="AL26" s="194"/>
      <c r="AM26" s="195">
        <v>0.5</v>
      </c>
      <c r="AN26" s="183">
        <f>(F26+K26+L26+M26+P26+Q26+R26+S26+T26+W26+X26+Y26+Z26+AA26+AD26+AE26+AF26+AG26+AH26)/19</f>
        <v>0.3695906432748538</v>
      </c>
      <c r="AO26" s="111">
        <f>(F27+K27+L27+M27+P27+Q27+R27+S27+T27+W27+Z27+AA27+AD27+AE27+AF27+AG27+AH27)/17</f>
        <v>0.77389705882352944</v>
      </c>
    </row>
    <row r="27" spans="1:41" ht="21.75" customHeight="1" x14ac:dyDescent="0.4">
      <c r="A27" s="117"/>
      <c r="B27" s="118"/>
      <c r="C27" s="120"/>
      <c r="D27" s="25" t="s">
        <v>52</v>
      </c>
      <c r="E27" s="44" t="s">
        <v>70</v>
      </c>
      <c r="F27" s="26" t="s">
        <v>312</v>
      </c>
      <c r="G27" s="26" t="s">
        <v>70</v>
      </c>
      <c r="H27" s="26" t="s">
        <v>70</v>
      </c>
      <c r="I27" s="44" t="s">
        <v>70</v>
      </c>
      <c r="J27" s="44" t="s">
        <v>70</v>
      </c>
      <c r="K27" s="26" t="s">
        <v>312</v>
      </c>
      <c r="L27" s="26" t="s">
        <v>91</v>
      </c>
      <c r="M27" s="26" t="s">
        <v>101</v>
      </c>
      <c r="N27" s="26" t="s">
        <v>70</v>
      </c>
      <c r="O27" s="26" t="s">
        <v>70</v>
      </c>
      <c r="P27" s="26" t="s">
        <v>312</v>
      </c>
      <c r="Q27" s="26" t="s">
        <v>101</v>
      </c>
      <c r="R27" s="26" t="s">
        <v>80</v>
      </c>
      <c r="S27" s="26" t="s">
        <v>90</v>
      </c>
      <c r="T27" s="26" t="s">
        <v>90</v>
      </c>
      <c r="U27" s="26" t="s">
        <v>70</v>
      </c>
      <c r="V27" s="26" t="s">
        <v>70</v>
      </c>
      <c r="W27" s="26" t="s">
        <v>312</v>
      </c>
      <c r="X27" s="41" t="s">
        <v>279</v>
      </c>
      <c r="Y27" s="26" t="s">
        <v>104</v>
      </c>
      <c r="Z27" s="26" t="s">
        <v>89</v>
      </c>
      <c r="AA27" s="26" t="s">
        <v>102</v>
      </c>
      <c r="AB27" s="26" t="s">
        <v>70</v>
      </c>
      <c r="AC27" s="26" t="s">
        <v>70</v>
      </c>
      <c r="AD27" s="26" t="s">
        <v>80</v>
      </c>
      <c r="AE27" s="26" t="s">
        <v>101</v>
      </c>
      <c r="AF27" s="26" t="s">
        <v>80</v>
      </c>
      <c r="AG27" s="26" t="s">
        <v>101</v>
      </c>
      <c r="AH27" s="26" t="s">
        <v>92</v>
      </c>
      <c r="AI27" s="26" t="s">
        <v>70</v>
      </c>
      <c r="AJ27" s="112"/>
      <c r="AK27" s="106"/>
      <c r="AL27" s="194"/>
      <c r="AM27" s="195"/>
      <c r="AN27" s="111"/>
      <c r="AO27" s="111"/>
    </row>
    <row r="28" spans="1:41" ht="21.75" customHeight="1" x14ac:dyDescent="0.4">
      <c r="A28" s="117"/>
      <c r="B28" s="186" t="s">
        <v>56</v>
      </c>
      <c r="C28" s="120" t="s">
        <v>492</v>
      </c>
      <c r="D28" s="25" t="s">
        <v>51</v>
      </c>
      <c r="E28" s="206" t="s">
        <v>70</v>
      </c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207"/>
      <c r="AB28" s="207"/>
      <c r="AC28" s="208"/>
      <c r="AD28" s="26" t="s">
        <v>78</v>
      </c>
      <c r="AE28" s="26" t="s">
        <v>78</v>
      </c>
      <c r="AF28" s="26" t="s">
        <v>78</v>
      </c>
      <c r="AG28" s="26" t="s">
        <v>143</v>
      </c>
      <c r="AH28" s="26" t="s">
        <v>78</v>
      </c>
      <c r="AI28" s="26" t="s">
        <v>70</v>
      </c>
      <c r="AJ28" s="112"/>
      <c r="AK28" s="106"/>
      <c r="AL28" s="194"/>
      <c r="AM28" s="195"/>
      <c r="AN28" s="111">
        <f>(AD28+AE28+AF28+AG28+AH28)/5</f>
        <v>0.35902777777777778</v>
      </c>
      <c r="AO28" s="181">
        <f>(AD29+AE29+AF29+AG29+AH29)/5</f>
        <v>0.77277777777777779</v>
      </c>
    </row>
    <row r="29" spans="1:41" ht="21.75" customHeight="1" thickBot="1" x14ac:dyDescent="0.45">
      <c r="A29" s="117"/>
      <c r="B29" s="187"/>
      <c r="C29" s="121"/>
      <c r="D29" s="31" t="s">
        <v>52</v>
      </c>
      <c r="E29" s="212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4"/>
      <c r="AD29" s="32" t="s">
        <v>80</v>
      </c>
      <c r="AE29" s="32" t="s">
        <v>102</v>
      </c>
      <c r="AF29" s="32" t="s">
        <v>80</v>
      </c>
      <c r="AG29" s="32" t="s">
        <v>80</v>
      </c>
      <c r="AH29" s="32" t="s">
        <v>80</v>
      </c>
      <c r="AI29" s="32" t="s">
        <v>70</v>
      </c>
      <c r="AJ29" s="122"/>
      <c r="AK29" s="167"/>
      <c r="AL29" s="196"/>
      <c r="AM29" s="197"/>
      <c r="AN29" s="188"/>
      <c r="AO29" s="189"/>
    </row>
    <row r="30" spans="1:41" ht="21.75" customHeight="1" x14ac:dyDescent="0.4">
      <c r="A30" s="123" t="s">
        <v>64</v>
      </c>
      <c r="B30" s="190" t="s">
        <v>59</v>
      </c>
      <c r="C30" s="159" t="s">
        <v>65</v>
      </c>
      <c r="D30" s="33" t="s">
        <v>51</v>
      </c>
      <c r="E30" s="43" t="s">
        <v>70</v>
      </c>
      <c r="F30" s="34" t="s">
        <v>179</v>
      </c>
      <c r="G30" s="34" t="s">
        <v>70</v>
      </c>
      <c r="H30" s="34" t="s">
        <v>70</v>
      </c>
      <c r="I30" s="43" t="s">
        <v>70</v>
      </c>
      <c r="J30" s="43" t="s">
        <v>70</v>
      </c>
      <c r="K30" s="34" t="s">
        <v>100</v>
      </c>
      <c r="L30" s="34" t="s">
        <v>99</v>
      </c>
      <c r="M30" s="34" t="s">
        <v>94</v>
      </c>
      <c r="N30" s="34" t="s">
        <v>70</v>
      </c>
      <c r="O30" s="34" t="s">
        <v>70</v>
      </c>
      <c r="P30" s="34" t="s">
        <v>93</v>
      </c>
      <c r="Q30" s="34" t="s">
        <v>119</v>
      </c>
      <c r="R30" s="34" t="s">
        <v>143</v>
      </c>
      <c r="S30" s="34" t="s">
        <v>99</v>
      </c>
      <c r="T30" s="34" t="s">
        <v>143</v>
      </c>
      <c r="U30" s="34" t="s">
        <v>70</v>
      </c>
      <c r="V30" s="34" t="s">
        <v>70</v>
      </c>
      <c r="W30" s="34" t="s">
        <v>95</v>
      </c>
      <c r="X30" s="34" t="s">
        <v>311</v>
      </c>
      <c r="Y30" s="34" t="s">
        <v>68</v>
      </c>
      <c r="Z30" s="34" t="s">
        <v>143</v>
      </c>
      <c r="AA30" s="34" t="s">
        <v>142</v>
      </c>
      <c r="AB30" s="34" t="s">
        <v>70</v>
      </c>
      <c r="AC30" s="34" t="s">
        <v>70</v>
      </c>
      <c r="AD30" s="34" t="s">
        <v>142</v>
      </c>
      <c r="AE30" s="34" t="s">
        <v>311</v>
      </c>
      <c r="AF30" s="34" t="s">
        <v>94</v>
      </c>
      <c r="AG30" s="34" t="s">
        <v>179</v>
      </c>
      <c r="AH30" s="34" t="s">
        <v>142</v>
      </c>
      <c r="AI30" s="34" t="s">
        <v>70</v>
      </c>
      <c r="AJ30" s="160"/>
      <c r="AK30" s="166"/>
      <c r="AL30" s="108"/>
      <c r="AM30" s="110"/>
      <c r="AN30" s="183">
        <f>(F30+K30+L30+M30+P30+Q30+R30+S30+T30+W30+X30+Y30+Z30+AA30+AD30+AE30+AF30+AG30+AH30)/19</f>
        <v>0.35778508771929834</v>
      </c>
      <c r="AO30" s="105">
        <f>(F31+K31+L31+M31+P31+Q31+R31+S31+T31+W31+X31+Z31+AA31+AD31+AE31+AF31+AG31+AH31)/18</f>
        <v>0.80200617283950615</v>
      </c>
    </row>
    <row r="31" spans="1:41" ht="21.75" customHeight="1" x14ac:dyDescent="0.4">
      <c r="A31" s="124"/>
      <c r="B31" s="186"/>
      <c r="C31" s="120"/>
      <c r="D31" s="25" t="s">
        <v>52</v>
      </c>
      <c r="E31" s="44" t="s">
        <v>70</v>
      </c>
      <c r="F31" s="26" t="s">
        <v>334</v>
      </c>
      <c r="G31" s="26" t="s">
        <v>70</v>
      </c>
      <c r="H31" s="26" t="s">
        <v>70</v>
      </c>
      <c r="I31" s="44" t="s">
        <v>70</v>
      </c>
      <c r="J31" s="44" t="s">
        <v>70</v>
      </c>
      <c r="K31" s="26" t="s">
        <v>312</v>
      </c>
      <c r="L31" s="26" t="s">
        <v>308</v>
      </c>
      <c r="M31" s="26" t="s">
        <v>185</v>
      </c>
      <c r="N31" s="26" t="s">
        <v>70</v>
      </c>
      <c r="O31" s="26" t="s">
        <v>70</v>
      </c>
      <c r="P31" s="26" t="s">
        <v>295</v>
      </c>
      <c r="Q31" s="26" t="s">
        <v>312</v>
      </c>
      <c r="R31" s="26" t="s">
        <v>312</v>
      </c>
      <c r="S31" s="26" t="s">
        <v>127</v>
      </c>
      <c r="T31" s="26" t="s">
        <v>327</v>
      </c>
      <c r="U31" s="26" t="s">
        <v>70</v>
      </c>
      <c r="V31" s="26" t="s">
        <v>70</v>
      </c>
      <c r="W31" s="26" t="s">
        <v>452</v>
      </c>
      <c r="X31" s="26" t="s">
        <v>159</v>
      </c>
      <c r="Y31" s="26" t="s">
        <v>132</v>
      </c>
      <c r="Z31" s="26" t="s">
        <v>117</v>
      </c>
      <c r="AA31" s="26" t="s">
        <v>157</v>
      </c>
      <c r="AB31" s="26" t="s">
        <v>70</v>
      </c>
      <c r="AC31" s="26" t="s">
        <v>70</v>
      </c>
      <c r="AD31" s="26" t="s">
        <v>159</v>
      </c>
      <c r="AE31" s="26" t="s">
        <v>188</v>
      </c>
      <c r="AF31" s="26" t="s">
        <v>334</v>
      </c>
      <c r="AG31" s="26" t="s">
        <v>165</v>
      </c>
      <c r="AH31" s="26" t="s">
        <v>131</v>
      </c>
      <c r="AI31" s="26" t="s">
        <v>70</v>
      </c>
      <c r="AJ31" s="127"/>
      <c r="AK31" s="106"/>
      <c r="AL31" s="194"/>
      <c r="AM31" s="195"/>
      <c r="AN31" s="111"/>
      <c r="AO31" s="181"/>
    </row>
    <row r="32" spans="1:41" ht="21.75" customHeight="1" x14ac:dyDescent="0.4">
      <c r="A32" s="124"/>
      <c r="B32" s="186" t="s">
        <v>67</v>
      </c>
      <c r="C32" s="120" t="s">
        <v>66</v>
      </c>
      <c r="D32" s="25" t="s">
        <v>51</v>
      </c>
      <c r="E32" s="44" t="s">
        <v>70</v>
      </c>
      <c r="F32" s="26" t="s">
        <v>72</v>
      </c>
      <c r="G32" s="26" t="s">
        <v>70</v>
      </c>
      <c r="H32" s="26" t="s">
        <v>70</v>
      </c>
      <c r="I32" s="44" t="s">
        <v>70</v>
      </c>
      <c r="J32" s="44" t="s">
        <v>70</v>
      </c>
      <c r="K32" s="26" t="s">
        <v>78</v>
      </c>
      <c r="L32" s="26" t="s">
        <v>121</v>
      </c>
      <c r="M32" s="26" t="s">
        <v>69</v>
      </c>
      <c r="N32" s="26" t="s">
        <v>70</v>
      </c>
      <c r="O32" s="26" t="s">
        <v>70</v>
      </c>
      <c r="P32" s="26" t="s">
        <v>72</v>
      </c>
      <c r="Q32" s="26" t="s">
        <v>119</v>
      </c>
      <c r="R32" s="26" t="s">
        <v>120</v>
      </c>
      <c r="S32" s="26" t="s">
        <v>152</v>
      </c>
      <c r="T32" s="26" t="s">
        <v>79</v>
      </c>
      <c r="U32" s="26" t="s">
        <v>70</v>
      </c>
      <c r="V32" s="26" t="s">
        <v>70</v>
      </c>
      <c r="W32" s="26" t="s">
        <v>93</v>
      </c>
      <c r="X32" s="26" t="s">
        <v>119</v>
      </c>
      <c r="Y32" s="26" t="s">
        <v>68</v>
      </c>
      <c r="Z32" s="26" t="s">
        <v>74</v>
      </c>
      <c r="AA32" s="26" t="s">
        <v>120</v>
      </c>
      <c r="AB32" s="26" t="s">
        <v>70</v>
      </c>
      <c r="AC32" s="26" t="s">
        <v>70</v>
      </c>
      <c r="AD32" s="26" t="s">
        <v>73</v>
      </c>
      <c r="AE32" s="26" t="s">
        <v>73</v>
      </c>
      <c r="AF32" s="26" t="s">
        <v>76</v>
      </c>
      <c r="AG32" s="26" t="s">
        <v>93</v>
      </c>
      <c r="AH32" s="26" t="s">
        <v>74</v>
      </c>
      <c r="AI32" s="26" t="s">
        <v>70</v>
      </c>
      <c r="AJ32" s="112"/>
      <c r="AK32" s="106"/>
      <c r="AL32" s="194" t="s">
        <v>499</v>
      </c>
      <c r="AM32" s="195">
        <v>0.5</v>
      </c>
      <c r="AN32" s="183">
        <f>(F32+K32+L32+M32+P32+Q32+R32+S32+T32+W32+X32+Y32+Z32+AA32+AD32+AE32+AF32+AG32+AH32)/19</f>
        <v>0.36440058479532161</v>
      </c>
      <c r="AO32" s="105">
        <f>(F33+K33+L33+M33+P33+Q33+R33+S33+T33+W33+X33+Z33+AA33+AD33+AE33+AF33+AH33)/17</f>
        <v>0.83574346405228772</v>
      </c>
    </row>
    <row r="33" spans="1:41" ht="21.75" customHeight="1" x14ac:dyDescent="0.4">
      <c r="A33" s="124"/>
      <c r="B33" s="186"/>
      <c r="C33" s="120"/>
      <c r="D33" s="25" t="s">
        <v>52</v>
      </c>
      <c r="E33" s="44" t="s">
        <v>70</v>
      </c>
      <c r="F33" s="26" t="s">
        <v>114</v>
      </c>
      <c r="G33" s="26" t="s">
        <v>70</v>
      </c>
      <c r="H33" s="26" t="s">
        <v>70</v>
      </c>
      <c r="I33" s="44" t="s">
        <v>70</v>
      </c>
      <c r="J33" s="44" t="s">
        <v>70</v>
      </c>
      <c r="K33" s="26" t="s">
        <v>112</v>
      </c>
      <c r="L33" s="26" t="s">
        <v>145</v>
      </c>
      <c r="M33" s="26" t="s">
        <v>483</v>
      </c>
      <c r="N33" s="26" t="s">
        <v>70</v>
      </c>
      <c r="O33" s="26" t="s">
        <v>70</v>
      </c>
      <c r="P33" s="26" t="s">
        <v>308</v>
      </c>
      <c r="Q33" s="26" t="s">
        <v>330</v>
      </c>
      <c r="R33" s="26" t="s">
        <v>130</v>
      </c>
      <c r="S33" s="26" t="s">
        <v>452</v>
      </c>
      <c r="T33" s="26" t="s">
        <v>296</v>
      </c>
      <c r="U33" s="26" t="s">
        <v>70</v>
      </c>
      <c r="V33" s="26" t="s">
        <v>70</v>
      </c>
      <c r="W33" s="26" t="s">
        <v>459</v>
      </c>
      <c r="X33" s="26" t="s">
        <v>484</v>
      </c>
      <c r="Y33" s="26" t="s">
        <v>292</v>
      </c>
      <c r="Z33" s="26" t="s">
        <v>224</v>
      </c>
      <c r="AA33" s="26" t="s">
        <v>332</v>
      </c>
      <c r="AB33" s="26" t="s">
        <v>70</v>
      </c>
      <c r="AC33" s="26" t="s">
        <v>70</v>
      </c>
      <c r="AD33" s="26" t="s">
        <v>185</v>
      </c>
      <c r="AE33" s="26" t="s">
        <v>308</v>
      </c>
      <c r="AF33" s="26" t="s">
        <v>451</v>
      </c>
      <c r="AG33" s="41" t="s">
        <v>279</v>
      </c>
      <c r="AH33" s="26" t="s">
        <v>332</v>
      </c>
      <c r="AI33" s="26" t="s">
        <v>70</v>
      </c>
      <c r="AJ33" s="112"/>
      <c r="AK33" s="106"/>
      <c r="AL33" s="194"/>
      <c r="AM33" s="195"/>
      <c r="AN33" s="111"/>
      <c r="AO33" s="181"/>
    </row>
    <row r="34" spans="1:41" ht="21.75" customHeight="1" x14ac:dyDescent="0.4">
      <c r="A34" s="124"/>
      <c r="B34" s="186" t="s">
        <v>49</v>
      </c>
      <c r="C34" s="120" t="s">
        <v>194</v>
      </c>
      <c r="D34" s="25" t="s">
        <v>51</v>
      </c>
      <c r="E34" s="44" t="s">
        <v>70</v>
      </c>
      <c r="F34" s="26" t="s">
        <v>68</v>
      </c>
      <c r="G34" s="26" t="s">
        <v>70</v>
      </c>
      <c r="H34" s="26" t="s">
        <v>70</v>
      </c>
      <c r="I34" s="44" t="s">
        <v>70</v>
      </c>
      <c r="J34" s="44" t="s">
        <v>70</v>
      </c>
      <c r="K34" s="26" t="s">
        <v>137</v>
      </c>
      <c r="L34" s="26" t="s">
        <v>156</v>
      </c>
      <c r="M34" s="26" t="s">
        <v>156</v>
      </c>
      <c r="N34" s="26" t="s">
        <v>70</v>
      </c>
      <c r="O34" s="26" t="s">
        <v>70</v>
      </c>
      <c r="P34" s="26" t="s">
        <v>72</v>
      </c>
      <c r="Q34" s="26" t="s">
        <v>156</v>
      </c>
      <c r="R34" s="26" t="s">
        <v>120</v>
      </c>
      <c r="S34" s="26" t="s">
        <v>120</v>
      </c>
      <c r="T34" s="26" t="s">
        <v>121</v>
      </c>
      <c r="U34" s="26" t="s">
        <v>70</v>
      </c>
      <c r="V34" s="26" t="s">
        <v>70</v>
      </c>
      <c r="W34" s="26" t="s">
        <v>75</v>
      </c>
      <c r="X34" s="26" t="s">
        <v>120</v>
      </c>
      <c r="Y34" s="26" t="s">
        <v>121</v>
      </c>
      <c r="Z34" s="26" t="s">
        <v>156</v>
      </c>
      <c r="AA34" s="26" t="s">
        <v>120</v>
      </c>
      <c r="AB34" s="26" t="s">
        <v>70</v>
      </c>
      <c r="AC34" s="26" t="s">
        <v>70</v>
      </c>
      <c r="AD34" s="26" t="s">
        <v>68</v>
      </c>
      <c r="AE34" s="26" t="s">
        <v>75</v>
      </c>
      <c r="AF34" s="41" t="s">
        <v>279</v>
      </c>
      <c r="AG34" s="26" t="s">
        <v>75</v>
      </c>
      <c r="AH34" s="29" t="s">
        <v>163</v>
      </c>
      <c r="AI34" s="26" t="s">
        <v>70</v>
      </c>
      <c r="AJ34" s="112"/>
      <c r="AK34" s="106" t="s">
        <v>496</v>
      </c>
      <c r="AL34" s="106"/>
      <c r="AM34" s="195">
        <v>0.5</v>
      </c>
      <c r="AN34" s="183">
        <f>(F34+K34+L34+M34+P34+Q34+R34+S34+T34+W34+X34+Y34+Z34+AA34+AD34+AE34+AG34+AH34)/18</f>
        <v>0.36786265432098758</v>
      </c>
      <c r="AO34" s="105">
        <f>(F35+K35+L35+M35+P35+Q35+S35+T35+W35+X35+Z35+AA35+AD35+AE35+AF35+AG35+AH35)/17</f>
        <v>0.78035130718954249</v>
      </c>
    </row>
    <row r="35" spans="1:41" ht="21.75" customHeight="1" x14ac:dyDescent="0.4">
      <c r="A35" s="124"/>
      <c r="B35" s="186"/>
      <c r="C35" s="120"/>
      <c r="D35" s="25" t="s">
        <v>52</v>
      </c>
      <c r="E35" s="44" t="s">
        <v>70</v>
      </c>
      <c r="F35" s="26" t="s">
        <v>89</v>
      </c>
      <c r="G35" s="26" t="s">
        <v>70</v>
      </c>
      <c r="H35" s="26" t="s">
        <v>70</v>
      </c>
      <c r="I35" s="44" t="s">
        <v>70</v>
      </c>
      <c r="J35" s="44" t="s">
        <v>70</v>
      </c>
      <c r="K35" s="26" t="s">
        <v>98</v>
      </c>
      <c r="L35" s="26" t="s">
        <v>103</v>
      </c>
      <c r="M35" s="26" t="s">
        <v>117</v>
      </c>
      <c r="N35" s="26" t="s">
        <v>70</v>
      </c>
      <c r="O35" s="26" t="s">
        <v>70</v>
      </c>
      <c r="P35" s="26" t="s">
        <v>80</v>
      </c>
      <c r="Q35" s="26" t="s">
        <v>85</v>
      </c>
      <c r="R35" s="41" t="s">
        <v>279</v>
      </c>
      <c r="S35" s="26" t="s">
        <v>89</v>
      </c>
      <c r="T35" s="26" t="s">
        <v>98</v>
      </c>
      <c r="U35" s="26" t="s">
        <v>70</v>
      </c>
      <c r="V35" s="26" t="s">
        <v>70</v>
      </c>
      <c r="W35" s="26" t="s">
        <v>195</v>
      </c>
      <c r="X35" s="26" t="s">
        <v>103</v>
      </c>
      <c r="Y35" s="26" t="s">
        <v>218</v>
      </c>
      <c r="Z35" s="26" t="s">
        <v>83</v>
      </c>
      <c r="AA35" s="26" t="s">
        <v>92</v>
      </c>
      <c r="AB35" s="26" t="s">
        <v>70</v>
      </c>
      <c r="AC35" s="26" t="s">
        <v>70</v>
      </c>
      <c r="AD35" s="26" t="s">
        <v>80</v>
      </c>
      <c r="AE35" s="26" t="s">
        <v>88</v>
      </c>
      <c r="AF35" s="26" t="s">
        <v>83</v>
      </c>
      <c r="AG35" s="26" t="s">
        <v>85</v>
      </c>
      <c r="AH35" s="26" t="s">
        <v>123</v>
      </c>
      <c r="AI35" s="26" t="s">
        <v>70</v>
      </c>
      <c r="AJ35" s="112"/>
      <c r="AK35" s="106"/>
      <c r="AL35" s="106"/>
      <c r="AM35" s="195"/>
      <c r="AN35" s="111"/>
      <c r="AO35" s="181"/>
    </row>
    <row r="36" spans="1:41" ht="21.75" customHeight="1" x14ac:dyDescent="0.4">
      <c r="A36" s="124"/>
      <c r="B36" s="186" t="s">
        <v>53</v>
      </c>
      <c r="C36" s="120" t="s">
        <v>62</v>
      </c>
      <c r="D36" s="25" t="s">
        <v>51</v>
      </c>
      <c r="E36" s="44" t="s">
        <v>70</v>
      </c>
      <c r="F36" s="26" t="s">
        <v>73</v>
      </c>
      <c r="G36" s="26" t="s">
        <v>70</v>
      </c>
      <c r="H36" s="26" t="s">
        <v>70</v>
      </c>
      <c r="I36" s="44" t="s">
        <v>70</v>
      </c>
      <c r="J36" s="44" t="s">
        <v>70</v>
      </c>
      <c r="K36" s="26" t="s">
        <v>76</v>
      </c>
      <c r="L36" s="26" t="s">
        <v>68</v>
      </c>
      <c r="M36" s="26" t="s">
        <v>73</v>
      </c>
      <c r="N36" s="26" t="s">
        <v>70</v>
      </c>
      <c r="O36" s="26" t="s">
        <v>70</v>
      </c>
      <c r="P36" s="26" t="s">
        <v>69</v>
      </c>
      <c r="Q36" s="26" t="s">
        <v>122</v>
      </c>
      <c r="R36" s="26" t="s">
        <v>99</v>
      </c>
      <c r="S36" s="26" t="s">
        <v>152</v>
      </c>
      <c r="T36" s="26" t="s">
        <v>149</v>
      </c>
      <c r="U36" s="26" t="s">
        <v>70</v>
      </c>
      <c r="V36" s="26" t="s">
        <v>70</v>
      </c>
      <c r="W36" s="26" t="s">
        <v>121</v>
      </c>
      <c r="X36" s="26" t="s">
        <v>120</v>
      </c>
      <c r="Y36" s="26" t="s">
        <v>69</v>
      </c>
      <c r="Z36" s="29" t="s">
        <v>485</v>
      </c>
      <c r="AA36" s="26" t="s">
        <v>121</v>
      </c>
      <c r="AB36" s="26" t="s">
        <v>70</v>
      </c>
      <c r="AC36" s="26" t="s">
        <v>70</v>
      </c>
      <c r="AD36" s="206" t="s">
        <v>70</v>
      </c>
      <c r="AE36" s="207"/>
      <c r="AF36" s="207"/>
      <c r="AG36" s="207"/>
      <c r="AH36" s="208"/>
      <c r="AI36" s="26" t="s">
        <v>70</v>
      </c>
      <c r="AJ36" s="112"/>
      <c r="AK36" s="106" t="s">
        <v>496</v>
      </c>
      <c r="AL36" s="106"/>
      <c r="AM36" s="195">
        <v>0.5</v>
      </c>
      <c r="AN36" s="111">
        <f>(F36+K36+L36+M36+P36+Q36+R36+S36+T36+W36+X36+Y36+Z36+AA36)/14</f>
        <v>0.36711309523809527</v>
      </c>
      <c r="AO36" s="181">
        <f>(F37+K37+L37+M37+P37+Q37+R37+S37+W37+X37+Z37+AA37)/12</f>
        <v>0.77187500000000009</v>
      </c>
    </row>
    <row r="37" spans="1:41" ht="21.75" customHeight="1" x14ac:dyDescent="0.4">
      <c r="A37" s="124"/>
      <c r="B37" s="186"/>
      <c r="C37" s="120"/>
      <c r="D37" s="25" t="s">
        <v>52</v>
      </c>
      <c r="E37" s="44" t="s">
        <v>70</v>
      </c>
      <c r="F37" s="26" t="s">
        <v>312</v>
      </c>
      <c r="G37" s="26" t="s">
        <v>70</v>
      </c>
      <c r="H37" s="26" t="s">
        <v>70</v>
      </c>
      <c r="I37" s="44" t="s">
        <v>70</v>
      </c>
      <c r="J37" s="44" t="s">
        <v>70</v>
      </c>
      <c r="K37" s="26" t="s">
        <v>80</v>
      </c>
      <c r="L37" s="26" t="s">
        <v>101</v>
      </c>
      <c r="M37" s="26" t="s">
        <v>101</v>
      </c>
      <c r="N37" s="26" t="s">
        <v>70</v>
      </c>
      <c r="O37" s="26" t="s">
        <v>70</v>
      </c>
      <c r="P37" s="26" t="s">
        <v>312</v>
      </c>
      <c r="Q37" s="26" t="s">
        <v>101</v>
      </c>
      <c r="R37" s="26" t="s">
        <v>312</v>
      </c>
      <c r="S37" s="26" t="s">
        <v>88</v>
      </c>
      <c r="T37" s="41" t="s">
        <v>279</v>
      </c>
      <c r="U37" s="26" t="s">
        <v>70</v>
      </c>
      <c r="V37" s="26" t="s">
        <v>70</v>
      </c>
      <c r="W37" s="26" t="s">
        <v>88</v>
      </c>
      <c r="X37" s="26" t="s">
        <v>88</v>
      </c>
      <c r="Y37" s="26" t="s">
        <v>486</v>
      </c>
      <c r="Z37" s="26" t="s">
        <v>88</v>
      </c>
      <c r="AA37" s="26" t="s">
        <v>312</v>
      </c>
      <c r="AB37" s="26" t="s">
        <v>70</v>
      </c>
      <c r="AC37" s="26" t="s">
        <v>70</v>
      </c>
      <c r="AD37" s="209"/>
      <c r="AE37" s="210"/>
      <c r="AF37" s="210"/>
      <c r="AG37" s="210"/>
      <c r="AH37" s="211"/>
      <c r="AI37" s="26" t="s">
        <v>70</v>
      </c>
      <c r="AJ37" s="112"/>
      <c r="AK37" s="106"/>
      <c r="AL37" s="106"/>
      <c r="AM37" s="195"/>
      <c r="AN37" s="111"/>
      <c r="AO37" s="181"/>
    </row>
    <row r="38" spans="1:41" ht="21.75" customHeight="1" x14ac:dyDescent="0.4">
      <c r="A38" s="124"/>
      <c r="B38" s="186" t="s">
        <v>56</v>
      </c>
      <c r="C38" s="120" t="s">
        <v>227</v>
      </c>
      <c r="D38" s="25" t="s">
        <v>51</v>
      </c>
      <c r="E38" s="44" t="s">
        <v>70</v>
      </c>
      <c r="F38" s="26" t="s">
        <v>160</v>
      </c>
      <c r="G38" s="26" t="s">
        <v>70</v>
      </c>
      <c r="H38" s="26" t="s">
        <v>70</v>
      </c>
      <c r="I38" s="44" t="s">
        <v>70</v>
      </c>
      <c r="J38" s="44" t="s">
        <v>70</v>
      </c>
      <c r="K38" s="26" t="s">
        <v>149</v>
      </c>
      <c r="L38" s="26" t="s">
        <v>149</v>
      </c>
      <c r="M38" s="26" t="s">
        <v>156</v>
      </c>
      <c r="N38" s="26" t="s">
        <v>70</v>
      </c>
      <c r="O38" s="26" t="s">
        <v>70</v>
      </c>
      <c r="P38" s="26" t="s">
        <v>156</v>
      </c>
      <c r="Q38" s="26" t="s">
        <v>156</v>
      </c>
      <c r="R38" s="26" t="s">
        <v>120</v>
      </c>
      <c r="S38" s="26" t="s">
        <v>71</v>
      </c>
      <c r="T38" s="26" t="s">
        <v>135</v>
      </c>
      <c r="U38" s="26" t="s">
        <v>70</v>
      </c>
      <c r="V38" s="26" t="s">
        <v>70</v>
      </c>
      <c r="W38" s="26" t="s">
        <v>120</v>
      </c>
      <c r="X38" s="126" t="s">
        <v>176</v>
      </c>
      <c r="Y38" s="26" t="s">
        <v>149</v>
      </c>
      <c r="Z38" s="26" t="s">
        <v>149</v>
      </c>
      <c r="AA38" s="26" t="s">
        <v>68</v>
      </c>
      <c r="AB38" s="26" t="s">
        <v>70</v>
      </c>
      <c r="AC38" s="26" t="s">
        <v>70</v>
      </c>
      <c r="AD38" s="26" t="s">
        <v>121</v>
      </c>
      <c r="AE38" s="26" t="s">
        <v>121</v>
      </c>
      <c r="AF38" s="26" t="s">
        <v>68</v>
      </c>
      <c r="AG38" s="26" t="s">
        <v>121</v>
      </c>
      <c r="AH38" s="26" t="s">
        <v>71</v>
      </c>
      <c r="AI38" s="26" t="s">
        <v>70</v>
      </c>
      <c r="AJ38" s="112"/>
      <c r="AK38" s="106"/>
      <c r="AL38" s="194"/>
      <c r="AM38" s="195">
        <v>1</v>
      </c>
      <c r="AN38" s="111">
        <f>(F38+K38+L38+M38+P38+Q38+R38+S38+T38+W38+Y38+Z38+AA38+AD38+AE38+AF38+AG38+AH38)/18</f>
        <v>0.37064043209876535</v>
      </c>
      <c r="AO38" s="181">
        <f>(F39+K39+L39+M39+P39+Q39+R39+S39+T39+W39+Z39+AA39+AD39+AE39+AF39+AG39+AH39)/17</f>
        <v>0.77708333333333335</v>
      </c>
    </row>
    <row r="39" spans="1:41" ht="21.75" customHeight="1" x14ac:dyDescent="0.4">
      <c r="A39" s="124"/>
      <c r="B39" s="186"/>
      <c r="C39" s="120"/>
      <c r="D39" s="25" t="s">
        <v>52</v>
      </c>
      <c r="E39" s="44" t="s">
        <v>70</v>
      </c>
      <c r="F39" s="26" t="s">
        <v>102</v>
      </c>
      <c r="G39" s="26" t="s">
        <v>70</v>
      </c>
      <c r="H39" s="26" t="s">
        <v>70</v>
      </c>
      <c r="I39" s="44" t="s">
        <v>70</v>
      </c>
      <c r="J39" s="44" t="s">
        <v>70</v>
      </c>
      <c r="K39" s="26" t="s">
        <v>312</v>
      </c>
      <c r="L39" s="26" t="s">
        <v>103</v>
      </c>
      <c r="M39" s="26" t="s">
        <v>295</v>
      </c>
      <c r="N39" s="26" t="s">
        <v>70</v>
      </c>
      <c r="O39" s="26" t="s">
        <v>70</v>
      </c>
      <c r="P39" s="26" t="s">
        <v>88</v>
      </c>
      <c r="Q39" s="26" t="s">
        <v>312</v>
      </c>
      <c r="R39" s="26" t="s">
        <v>88</v>
      </c>
      <c r="S39" s="26" t="s">
        <v>88</v>
      </c>
      <c r="T39" s="26" t="s">
        <v>312</v>
      </c>
      <c r="U39" s="26" t="s">
        <v>70</v>
      </c>
      <c r="V39" s="26" t="s">
        <v>70</v>
      </c>
      <c r="W39" s="26" t="s">
        <v>173</v>
      </c>
      <c r="X39" s="126"/>
      <c r="Y39" s="26" t="s">
        <v>204</v>
      </c>
      <c r="Z39" s="26" t="s">
        <v>91</v>
      </c>
      <c r="AA39" s="26" t="s">
        <v>158</v>
      </c>
      <c r="AB39" s="26" t="s">
        <v>70</v>
      </c>
      <c r="AC39" s="26" t="s">
        <v>70</v>
      </c>
      <c r="AD39" s="26" t="s">
        <v>101</v>
      </c>
      <c r="AE39" s="26" t="s">
        <v>312</v>
      </c>
      <c r="AF39" s="26" t="s">
        <v>80</v>
      </c>
      <c r="AG39" s="26" t="s">
        <v>85</v>
      </c>
      <c r="AH39" s="26" t="s">
        <v>103</v>
      </c>
      <c r="AI39" s="26" t="s">
        <v>70</v>
      </c>
      <c r="AJ39" s="112"/>
      <c r="AK39" s="106"/>
      <c r="AL39" s="194"/>
      <c r="AM39" s="195"/>
      <c r="AN39" s="111"/>
      <c r="AO39" s="181"/>
    </row>
    <row r="40" spans="1:41" ht="21.75" customHeight="1" x14ac:dyDescent="0.4">
      <c r="A40" s="124"/>
      <c r="B40" s="190" t="s">
        <v>56</v>
      </c>
      <c r="C40" s="120" t="s">
        <v>423</v>
      </c>
      <c r="D40" s="25" t="s">
        <v>51</v>
      </c>
      <c r="E40" s="44" t="s">
        <v>70</v>
      </c>
      <c r="F40" s="26" t="s">
        <v>119</v>
      </c>
      <c r="G40" s="26" t="s">
        <v>70</v>
      </c>
      <c r="H40" s="26" t="s">
        <v>70</v>
      </c>
      <c r="I40" s="44" t="s">
        <v>70</v>
      </c>
      <c r="J40" s="44" t="s">
        <v>70</v>
      </c>
      <c r="K40" s="126" t="s">
        <v>412</v>
      </c>
      <c r="L40" s="26" t="s">
        <v>152</v>
      </c>
      <c r="M40" s="26" t="s">
        <v>79</v>
      </c>
      <c r="N40" s="26" t="s">
        <v>70</v>
      </c>
      <c r="O40" s="26" t="s">
        <v>70</v>
      </c>
      <c r="P40" s="26" t="s">
        <v>100</v>
      </c>
      <c r="Q40" s="26" t="s">
        <v>143</v>
      </c>
      <c r="R40" s="26" t="s">
        <v>95</v>
      </c>
      <c r="S40" s="26" t="s">
        <v>149</v>
      </c>
      <c r="T40" s="26" t="s">
        <v>79</v>
      </c>
      <c r="U40" s="26" t="s">
        <v>70</v>
      </c>
      <c r="V40" s="26" t="s">
        <v>70</v>
      </c>
      <c r="W40" s="26" t="s">
        <v>73</v>
      </c>
      <c r="X40" s="26" t="s">
        <v>120</v>
      </c>
      <c r="Y40" s="26" t="s">
        <v>74</v>
      </c>
      <c r="Z40" s="26" t="s">
        <v>135</v>
      </c>
      <c r="AA40" s="26" t="s">
        <v>135</v>
      </c>
      <c r="AB40" s="26" t="s">
        <v>70</v>
      </c>
      <c r="AC40" s="26" t="s">
        <v>70</v>
      </c>
      <c r="AD40" s="26" t="s">
        <v>119</v>
      </c>
      <c r="AE40" s="26" t="s">
        <v>72</v>
      </c>
      <c r="AF40" s="26" t="s">
        <v>68</v>
      </c>
      <c r="AG40" s="26" t="s">
        <v>161</v>
      </c>
      <c r="AH40" s="26" t="s">
        <v>156</v>
      </c>
      <c r="AI40" s="26" t="s">
        <v>70</v>
      </c>
      <c r="AJ40" s="127"/>
      <c r="AK40" s="106"/>
      <c r="AL40" s="194"/>
      <c r="AM40" s="195"/>
      <c r="AN40" s="111">
        <f>(F40+L40+M40+P40+Q40+R40+S40+T40+W40+X40+Y40+Z40+AA40+AD40+AE40+AF40+AG40+AH40)/18</f>
        <v>0.36620370370370375</v>
      </c>
      <c r="AO40" s="181">
        <f>(F41+L41+M41+P41+Q41+R41+S41+T41+W41+X41+Z41+AA41+AD41+AE41+AF41+AG41+AH41)/17</f>
        <v>0.78292483660130707</v>
      </c>
    </row>
    <row r="41" spans="1:41" ht="21.75" customHeight="1" thickBot="1" x14ac:dyDescent="0.45">
      <c r="A41" s="125"/>
      <c r="B41" s="187"/>
      <c r="C41" s="121"/>
      <c r="D41" s="31" t="s">
        <v>52</v>
      </c>
      <c r="E41" s="45" t="s">
        <v>70</v>
      </c>
      <c r="F41" s="32" t="s">
        <v>91</v>
      </c>
      <c r="G41" s="32" t="s">
        <v>70</v>
      </c>
      <c r="H41" s="32" t="s">
        <v>70</v>
      </c>
      <c r="I41" s="45" t="s">
        <v>70</v>
      </c>
      <c r="J41" s="45" t="s">
        <v>70</v>
      </c>
      <c r="K41" s="126"/>
      <c r="L41" s="32" t="s">
        <v>151</v>
      </c>
      <c r="M41" s="32" t="s">
        <v>102</v>
      </c>
      <c r="N41" s="32" t="s">
        <v>70</v>
      </c>
      <c r="O41" s="32" t="s">
        <v>70</v>
      </c>
      <c r="P41" s="32" t="s">
        <v>101</v>
      </c>
      <c r="Q41" s="32" t="s">
        <v>127</v>
      </c>
      <c r="R41" s="32" t="s">
        <v>170</v>
      </c>
      <c r="S41" s="32" t="s">
        <v>80</v>
      </c>
      <c r="T41" s="32" t="s">
        <v>89</v>
      </c>
      <c r="U41" s="32" t="s">
        <v>70</v>
      </c>
      <c r="V41" s="32" t="s">
        <v>70</v>
      </c>
      <c r="W41" s="32" t="s">
        <v>85</v>
      </c>
      <c r="X41" s="32" t="s">
        <v>158</v>
      </c>
      <c r="Y41" s="32" t="s">
        <v>491</v>
      </c>
      <c r="Z41" s="32" t="s">
        <v>147</v>
      </c>
      <c r="AA41" s="32" t="s">
        <v>85</v>
      </c>
      <c r="AB41" s="32" t="s">
        <v>70</v>
      </c>
      <c r="AC41" s="32" t="s">
        <v>70</v>
      </c>
      <c r="AD41" s="32" t="s">
        <v>103</v>
      </c>
      <c r="AE41" s="32" t="s">
        <v>326</v>
      </c>
      <c r="AF41" s="32" t="s">
        <v>90</v>
      </c>
      <c r="AG41" s="32" t="s">
        <v>165</v>
      </c>
      <c r="AH41" s="32" t="s">
        <v>82</v>
      </c>
      <c r="AI41" s="32" t="s">
        <v>70</v>
      </c>
      <c r="AJ41" s="215"/>
      <c r="AK41" s="167"/>
      <c r="AL41" s="196"/>
      <c r="AM41" s="197"/>
      <c r="AN41" s="188"/>
      <c r="AO41" s="189"/>
    </row>
    <row r="42" spans="1:41" x14ac:dyDescent="0.4">
      <c r="AM42" s="36">
        <f>SUM(AM4:AM41)</f>
        <v>14</v>
      </c>
    </row>
  </sheetData>
  <mergeCells count="180">
    <mergeCell ref="AM2:AM3"/>
    <mergeCell ref="AL8:AL9"/>
    <mergeCell ref="A1:C1"/>
    <mergeCell ref="D1:I1"/>
    <mergeCell ref="A2:A3"/>
    <mergeCell ref="B2:B3"/>
    <mergeCell ref="C2:C3"/>
    <mergeCell ref="AJ2:AJ3"/>
    <mergeCell ref="AK2:AK3"/>
    <mergeCell ref="AL2:AL3"/>
    <mergeCell ref="AF4:AF5"/>
    <mergeCell ref="F8:F9"/>
    <mergeCell ref="AO8:AO9"/>
    <mergeCell ref="AN2:AN3"/>
    <mergeCell ref="AO2:AO3"/>
    <mergeCell ref="A4:A13"/>
    <mergeCell ref="B4:B5"/>
    <mergeCell ref="C4:C5"/>
    <mergeCell ref="AJ4:AJ5"/>
    <mergeCell ref="AK4:AK5"/>
    <mergeCell ref="AL4:AL5"/>
    <mergeCell ref="AM4:AM5"/>
    <mergeCell ref="AN4:AN5"/>
    <mergeCell ref="AO4:AO5"/>
    <mergeCell ref="B6:B7"/>
    <mergeCell ref="C6:C7"/>
    <mergeCell ref="AJ6:AJ7"/>
    <mergeCell ref="AK6:AK7"/>
    <mergeCell ref="AL6:AL7"/>
    <mergeCell ref="AM6:AM7"/>
    <mergeCell ref="AN6:AN7"/>
    <mergeCell ref="AO6:AO7"/>
    <mergeCell ref="B8:B9"/>
    <mergeCell ref="C8:C9"/>
    <mergeCell ref="AJ8:AJ9"/>
    <mergeCell ref="AK8:AK9"/>
    <mergeCell ref="B10:B11"/>
    <mergeCell ref="C10:C11"/>
    <mergeCell ref="AJ10:AJ11"/>
    <mergeCell ref="AK10:AK11"/>
    <mergeCell ref="AL10:AL11"/>
    <mergeCell ref="AM10:AM11"/>
    <mergeCell ref="AN10:AN11"/>
    <mergeCell ref="AO10:AO11"/>
    <mergeCell ref="AO16:AO17"/>
    <mergeCell ref="F10:F11"/>
    <mergeCell ref="AO18:AO19"/>
    <mergeCell ref="AN12:AN13"/>
    <mergeCell ref="AO12:AO13"/>
    <mergeCell ref="B14:B15"/>
    <mergeCell ref="C14:C15"/>
    <mergeCell ref="AJ14:AJ15"/>
    <mergeCell ref="AK14:AK15"/>
    <mergeCell ref="AL14:AL15"/>
    <mergeCell ref="AM14:AM15"/>
    <mergeCell ref="AN14:AN15"/>
    <mergeCell ref="B12:B13"/>
    <mergeCell ref="C12:C13"/>
    <mergeCell ref="AJ12:AJ13"/>
    <mergeCell ref="AK12:AK13"/>
    <mergeCell ref="AL12:AL13"/>
    <mergeCell ref="AM12:AM13"/>
    <mergeCell ref="AO14:AO15"/>
    <mergeCell ref="B18:B19"/>
    <mergeCell ref="C18:C19"/>
    <mergeCell ref="AJ18:AJ19"/>
    <mergeCell ref="AK18:AK19"/>
    <mergeCell ref="AL18:AL19"/>
    <mergeCell ref="B16:B17"/>
    <mergeCell ref="C16:C17"/>
    <mergeCell ref="AO20:AO21"/>
    <mergeCell ref="B22:B23"/>
    <mergeCell ref="C22:C23"/>
    <mergeCell ref="AJ22:AJ23"/>
    <mergeCell ref="AK22:AK23"/>
    <mergeCell ref="AL22:AL23"/>
    <mergeCell ref="AM22:AM23"/>
    <mergeCell ref="AN22:AN23"/>
    <mergeCell ref="AO22:AO23"/>
    <mergeCell ref="W20:W21"/>
    <mergeCell ref="B20:B21"/>
    <mergeCell ref="C20:C21"/>
    <mergeCell ref="AJ20:AJ21"/>
    <mergeCell ref="AK20:AK21"/>
    <mergeCell ref="AL20:AL21"/>
    <mergeCell ref="AM20:AM21"/>
    <mergeCell ref="AN20:AN21"/>
    <mergeCell ref="AO26:AO27"/>
    <mergeCell ref="B28:B29"/>
    <mergeCell ref="C28:C29"/>
    <mergeCell ref="AJ28:AJ29"/>
    <mergeCell ref="AK28:AK29"/>
    <mergeCell ref="AL28:AL29"/>
    <mergeCell ref="AM28:AM29"/>
    <mergeCell ref="AN28:AN29"/>
    <mergeCell ref="AM24:AM25"/>
    <mergeCell ref="AN24:AN25"/>
    <mergeCell ref="AO24:AO25"/>
    <mergeCell ref="B26:B27"/>
    <mergeCell ref="C26:C27"/>
    <mergeCell ref="AJ26:AJ27"/>
    <mergeCell ref="AK26:AK27"/>
    <mergeCell ref="AL26:AL27"/>
    <mergeCell ref="AM26:AM27"/>
    <mergeCell ref="AN26:AN27"/>
    <mergeCell ref="B24:B25"/>
    <mergeCell ref="C24:C25"/>
    <mergeCell ref="AJ24:AJ25"/>
    <mergeCell ref="AK24:AK25"/>
    <mergeCell ref="AL24:AL25"/>
    <mergeCell ref="AO28:AO29"/>
    <mergeCell ref="A30:A41"/>
    <mergeCell ref="B30:B31"/>
    <mergeCell ref="C30:C31"/>
    <mergeCell ref="AJ30:AJ31"/>
    <mergeCell ref="AK30:AK31"/>
    <mergeCell ref="AL30:AL31"/>
    <mergeCell ref="AM30:AM31"/>
    <mergeCell ref="AN30:AN31"/>
    <mergeCell ref="AO30:AO31"/>
    <mergeCell ref="K40:K41"/>
    <mergeCell ref="X38:X39"/>
    <mergeCell ref="AO38:AO39"/>
    <mergeCell ref="B40:B41"/>
    <mergeCell ref="C40:C41"/>
    <mergeCell ref="AJ40:AJ41"/>
    <mergeCell ref="AK40:AK41"/>
    <mergeCell ref="AL40:AL41"/>
    <mergeCell ref="AM40:AM41"/>
    <mergeCell ref="AN40:AN41"/>
    <mergeCell ref="AO40:AO41"/>
    <mergeCell ref="B38:B39"/>
    <mergeCell ref="C38:C39"/>
    <mergeCell ref="AJ38:AJ39"/>
    <mergeCell ref="AK38:AK39"/>
    <mergeCell ref="AO36:AO37"/>
    <mergeCell ref="AD8:AD9"/>
    <mergeCell ref="AG6:AG7"/>
    <mergeCell ref="Z20:Z21"/>
    <mergeCell ref="AD20:AD21"/>
    <mergeCell ref="AD36:AH37"/>
    <mergeCell ref="A18:A29"/>
    <mergeCell ref="B36:B37"/>
    <mergeCell ref="C36:C37"/>
    <mergeCell ref="AJ36:AJ37"/>
    <mergeCell ref="AK36:AK37"/>
    <mergeCell ref="AL36:AL37"/>
    <mergeCell ref="AN32:AN33"/>
    <mergeCell ref="AO32:AO33"/>
    <mergeCell ref="B34:B35"/>
    <mergeCell ref="C34:C35"/>
    <mergeCell ref="AJ34:AJ35"/>
    <mergeCell ref="AK34:AK35"/>
    <mergeCell ref="AL34:AL35"/>
    <mergeCell ref="AM34:AM35"/>
    <mergeCell ref="AN34:AN35"/>
    <mergeCell ref="AO34:AO35"/>
    <mergeCell ref="B32:B33"/>
    <mergeCell ref="C32:C33"/>
    <mergeCell ref="E28:AC29"/>
    <mergeCell ref="AL38:AL39"/>
    <mergeCell ref="AM38:AM39"/>
    <mergeCell ref="AN38:AN39"/>
    <mergeCell ref="AM36:AM37"/>
    <mergeCell ref="AN36:AN37"/>
    <mergeCell ref="AJ32:AJ33"/>
    <mergeCell ref="AK32:AK33"/>
    <mergeCell ref="AL32:AL33"/>
    <mergeCell ref="AM32:AM33"/>
    <mergeCell ref="M24:M25"/>
    <mergeCell ref="P20:P21"/>
    <mergeCell ref="AN16:AN17"/>
    <mergeCell ref="AM8:AM9"/>
    <mergeCell ref="AM18:AM19"/>
    <mergeCell ref="AN18:AN19"/>
    <mergeCell ref="AJ16:AJ17"/>
    <mergeCell ref="AK16:AK17"/>
    <mergeCell ref="AL16:AL17"/>
    <mergeCell ref="AM16:AM17"/>
    <mergeCell ref="AN8:AN9"/>
  </mergeCells>
  <phoneticPr fontId="5" type="noConversion"/>
  <conditionalFormatting sqref="E4:E28">
    <cfRule type="expression" dxfId="620" priority="62">
      <formula>OR(WEEKDAY(E$3)=7,WEEKDAY(E$3)=1)</formula>
    </cfRule>
  </conditionalFormatting>
  <conditionalFormatting sqref="E30:E41">
    <cfRule type="expression" dxfId="619" priority="57">
      <formula>OR(WEEKDAY(E$3)=7,WEEKDAY(E$3)=1)</formula>
    </cfRule>
  </conditionalFormatting>
  <conditionalFormatting sqref="E2:AI3 AH5:AH7 AF18:AH20 Y30:Y31 AF30:AH31 L38:M39">
    <cfRule type="expression" dxfId="618" priority="743">
      <formula>OR(WEEKDAY(E$3)=7,WEEKDAY(E$3)=1)</formula>
    </cfRule>
  </conditionalFormatting>
  <conditionalFormatting sqref="E3:AI3">
    <cfRule type="expression" dxfId="617" priority="753">
      <formula>WEEKDAY(E3)=7</formula>
    </cfRule>
    <cfRule type="expression" dxfId="616" priority="752">
      <formula>WEEKDAY(E3)=1</formula>
    </cfRule>
  </conditionalFormatting>
  <conditionalFormatting sqref="F5:F8">
    <cfRule type="expression" dxfId="615" priority="56">
      <formula>OR(WEEKDAY(F$3)=7,WEEKDAY(F$3)=1)</formula>
    </cfRule>
  </conditionalFormatting>
  <conditionalFormatting sqref="F10">
    <cfRule type="expression" dxfId="614" priority="55">
      <formula>OR(WEEKDAY(F$3)=7,WEEKDAY(F$3)=1)</formula>
    </cfRule>
  </conditionalFormatting>
  <conditionalFormatting sqref="F12:F15">
    <cfRule type="expression" dxfId="613" priority="456">
      <formula>OR(WEEKDAY(F$3)=7,WEEKDAY(F$3)=1)</formula>
    </cfRule>
  </conditionalFormatting>
  <conditionalFormatting sqref="F18:F23">
    <cfRule type="expression" dxfId="612" priority="727">
      <formula>OR(WEEKDAY(F$3)=7,WEEKDAY(F$3)=1)</formula>
    </cfRule>
  </conditionalFormatting>
  <conditionalFormatting sqref="F30:F38">
    <cfRule type="expression" dxfId="611" priority="25">
      <formula>OR(WEEKDAY(F$3)=7,WEEKDAY(F$3)=1)</formula>
    </cfRule>
  </conditionalFormatting>
  <conditionalFormatting sqref="F25:H27">
    <cfRule type="expression" dxfId="610" priority="17">
      <formula>OR(WEEKDAY(F$3)=7,WEEKDAY(F$3)=1)</formula>
    </cfRule>
  </conditionalFormatting>
  <conditionalFormatting sqref="F4:Q4">
    <cfRule type="expression" dxfId="609" priority="325">
      <formula>OR(WEEKDAY(F$3)=7,WEEKDAY(F$3)=1)</formula>
    </cfRule>
  </conditionalFormatting>
  <conditionalFormatting sqref="G5:H24">
    <cfRule type="expression" dxfId="608" priority="346">
      <formula>OR(WEEKDAY(G$3)=7,WEEKDAY(G$3)=1)</formula>
    </cfRule>
  </conditionalFormatting>
  <conditionalFormatting sqref="G30:H41">
    <cfRule type="expression" dxfId="607" priority="327">
      <formula>OR(WEEKDAY(G$3)=7,WEEKDAY(G$3)=1)</formula>
    </cfRule>
  </conditionalFormatting>
  <conditionalFormatting sqref="I5:J15">
    <cfRule type="expression" dxfId="606" priority="439">
      <formula>OR(WEEKDAY(I$3)=7,WEEKDAY(I$3)=1)</formula>
    </cfRule>
  </conditionalFormatting>
  <conditionalFormatting sqref="I18:J27">
    <cfRule type="expression" dxfId="605" priority="406">
      <formula>OR(WEEKDAY(I$3)=7,WEEKDAY(I$3)=1)</formula>
    </cfRule>
  </conditionalFormatting>
  <conditionalFormatting sqref="I30:J39">
    <cfRule type="expression" dxfId="604" priority="541">
      <formula>OR(WEEKDAY(I$3)=7,WEEKDAY(I$3)=1)</formula>
    </cfRule>
  </conditionalFormatting>
  <conditionalFormatting sqref="K5:K8">
    <cfRule type="expression" dxfId="603" priority="444">
      <formula>OR(WEEKDAY(K$3)=7,WEEKDAY(K$3)=1)</formula>
    </cfRule>
  </conditionalFormatting>
  <conditionalFormatting sqref="K14">
    <cfRule type="expression" dxfId="602" priority="19">
      <formula>OR(WEEKDAY(K$3)=7,WEEKDAY(K$3)=1)</formula>
    </cfRule>
  </conditionalFormatting>
  <conditionalFormatting sqref="K25:K27">
    <cfRule type="expression" dxfId="601" priority="52">
      <formula>OR(WEEKDAY(K$3)=7,WEEKDAY(K$3)=1)</formula>
    </cfRule>
  </conditionalFormatting>
  <conditionalFormatting sqref="K30:K31">
    <cfRule type="expression" dxfId="600" priority="30">
      <formula>OR(WEEKDAY(K$3)=7,WEEKDAY(K$3)=1)</formula>
    </cfRule>
  </conditionalFormatting>
  <conditionalFormatting sqref="K39:K40">
    <cfRule type="expression" dxfId="599" priority="15">
      <formula>OR(WEEKDAY(K$3)=7,WEEKDAY(K$3)=1)</formula>
    </cfRule>
  </conditionalFormatting>
  <conditionalFormatting sqref="K18:M21">
    <cfRule type="expression" dxfId="598" priority="639">
      <formula>OR(WEEKDAY(K$3)=7,WEEKDAY(K$3)=1)</formula>
    </cfRule>
  </conditionalFormatting>
  <conditionalFormatting sqref="L17">
    <cfRule type="expression" dxfId="597" priority="43">
      <formula>OR(WEEKDAY(L$3)=7,WEEKDAY(L$3)=1)</formula>
    </cfRule>
  </conditionalFormatting>
  <conditionalFormatting sqref="L24:L25">
    <cfRule type="expression" dxfId="596" priority="435">
      <formula>OR(WEEKDAY(L$3)=7,WEEKDAY(L$3)=1)</formula>
    </cfRule>
  </conditionalFormatting>
  <conditionalFormatting sqref="L31:L37">
    <cfRule type="expression" dxfId="595" priority="488">
      <formula>OR(WEEKDAY(L$3)=7,WEEKDAY(L$3)=1)</formula>
    </cfRule>
  </conditionalFormatting>
  <conditionalFormatting sqref="L5:M15">
    <cfRule type="expression" dxfId="594" priority="10">
      <formula>OR(WEEKDAY(L$3)=7,WEEKDAY(L$3)=1)</formula>
    </cfRule>
  </conditionalFormatting>
  <conditionalFormatting sqref="L22:M23">
    <cfRule type="expression" dxfId="593" priority="472">
      <formula>OR(WEEKDAY(L$3)=7,WEEKDAY(L$3)=1)</formula>
    </cfRule>
  </conditionalFormatting>
  <conditionalFormatting sqref="L26:M27">
    <cfRule type="expression" dxfId="592" priority="411">
      <formula>OR(WEEKDAY(L$3)=7,WEEKDAY(L$3)=1)</formula>
    </cfRule>
  </conditionalFormatting>
  <conditionalFormatting sqref="L30:M30">
    <cfRule type="expression" dxfId="591" priority="664">
      <formula>OR(WEEKDAY(L$3)=7,WEEKDAY(L$3)=1)</formula>
    </cfRule>
  </conditionalFormatting>
  <conditionalFormatting sqref="L32:M33">
    <cfRule type="expression" dxfId="590" priority="663">
      <formula>OR(WEEKDAY(L$3)=7,WEEKDAY(L$3)=1)</formula>
    </cfRule>
  </conditionalFormatting>
  <conditionalFormatting sqref="M31:M32">
    <cfRule type="expression" dxfId="589" priority="662">
      <formula>OR(WEEKDAY(M$3)=7,WEEKDAY(M$3)=1)</formula>
    </cfRule>
  </conditionalFormatting>
  <conditionalFormatting sqref="M34:M37">
    <cfRule type="expression" dxfId="588" priority="485">
      <formula>OR(WEEKDAY(M$3)=7,WEEKDAY(M$3)=1)</formula>
    </cfRule>
  </conditionalFormatting>
  <conditionalFormatting sqref="M24:O24">
    <cfRule type="expression" dxfId="587" priority="50">
      <formula>OR(WEEKDAY(M$3)=7,WEEKDAY(M$3)=1)</formula>
    </cfRule>
  </conditionalFormatting>
  <conditionalFormatting sqref="N5:O23">
    <cfRule type="expression" dxfId="586" priority="289">
      <formula>OR(WEEKDAY(N$3)=7,WEEKDAY(N$3)=1)</formula>
    </cfRule>
  </conditionalFormatting>
  <conditionalFormatting sqref="N25:O27">
    <cfRule type="expression" dxfId="585" priority="278">
      <formula>OR(WEEKDAY(N$3)=7,WEEKDAY(N$3)=1)</formula>
    </cfRule>
  </conditionalFormatting>
  <conditionalFormatting sqref="N30:O41">
    <cfRule type="expression" dxfId="584" priority="268">
      <formula>OR(WEEKDAY(N$3)=7,WEEKDAY(N$3)=1)</formula>
    </cfRule>
  </conditionalFormatting>
  <conditionalFormatting sqref="P20">
    <cfRule type="expression" dxfId="583" priority="49">
      <formula>OR(WEEKDAY(P$3)=7,WEEKDAY(P$3)=1)</formula>
    </cfRule>
  </conditionalFormatting>
  <conditionalFormatting sqref="P25">
    <cfRule type="expression" dxfId="582" priority="425">
      <formula>OR(WEEKDAY(P$3)=7,WEEKDAY(P$3)=1)</formula>
    </cfRule>
  </conditionalFormatting>
  <conditionalFormatting sqref="P5:Q15">
    <cfRule type="expression" dxfId="581" priority="3">
      <formula>OR(WEEKDAY(P$3)=7,WEEKDAY(P$3)=1)</formula>
    </cfRule>
  </conditionalFormatting>
  <conditionalFormatting sqref="P18:Q19">
    <cfRule type="expression" dxfId="580" priority="555">
      <formula>OR(WEEKDAY(P$3)=7,WEEKDAY(P$3)=1)</formula>
    </cfRule>
  </conditionalFormatting>
  <conditionalFormatting sqref="P22:Q23">
    <cfRule type="expression" dxfId="579" priority="553">
      <formula>OR(WEEKDAY(P$3)=7,WEEKDAY(P$3)=1)</formula>
    </cfRule>
  </conditionalFormatting>
  <conditionalFormatting sqref="P26:Q27">
    <cfRule type="expression" dxfId="578" priority="405">
      <formula>OR(WEEKDAY(P$3)=7,WEEKDAY(P$3)=1)</formula>
    </cfRule>
  </conditionalFormatting>
  <conditionalFormatting sqref="P30:Q36">
    <cfRule type="expression" dxfId="577" priority="29">
      <formula>OR(WEEKDAY(P$3)=7,WEEKDAY(P$3)=1)</formula>
    </cfRule>
  </conditionalFormatting>
  <conditionalFormatting sqref="P38:Q39">
    <cfRule type="expression" dxfId="576" priority="14">
      <formula>OR(WEEKDAY(P$3)=7,WEEKDAY(P$3)=1)</formula>
    </cfRule>
  </conditionalFormatting>
  <conditionalFormatting sqref="P37:R37">
    <cfRule type="expression" dxfId="575" priority="24">
      <formula>OR(WEEKDAY(P$3)=7,WEEKDAY(P$3)=1)</formula>
    </cfRule>
  </conditionalFormatting>
  <conditionalFormatting sqref="Q20:Q21">
    <cfRule type="expression" dxfId="574" priority="554">
      <formula>OR(WEEKDAY(Q$3)=7,WEEKDAY(Q$3)=1)</formula>
    </cfRule>
  </conditionalFormatting>
  <conditionalFormatting sqref="Q24:Q25">
    <cfRule type="expression" dxfId="573" priority="33">
      <formula>OR(WEEKDAY(Q$3)=7,WEEKDAY(Q$3)=1)</formula>
    </cfRule>
  </conditionalFormatting>
  <conditionalFormatting sqref="R4:R10">
    <cfRule type="expression" dxfId="572" priority="1">
      <formula>OR(WEEKDAY(R$3)=7,WEEKDAY(R$3)=1)</formula>
    </cfRule>
  </conditionalFormatting>
  <conditionalFormatting sqref="R12">
    <cfRule type="expression" dxfId="571" priority="643">
      <formula>OR(WEEKDAY(R$3)=7,WEEKDAY(R$3)=1)</formula>
    </cfRule>
  </conditionalFormatting>
  <conditionalFormatting sqref="R18:R22">
    <cfRule type="expression" dxfId="570" priority="516">
      <formula>OR(WEEKDAY(R$3)=7,WEEKDAY(R$3)=1)</formula>
    </cfRule>
  </conditionalFormatting>
  <conditionalFormatting sqref="R25">
    <cfRule type="expression" dxfId="569" priority="436">
      <formula>OR(WEEKDAY(R$3)=7,WEEKDAY(R$3)=1)</formula>
    </cfRule>
  </conditionalFormatting>
  <conditionalFormatting sqref="R30:R31">
    <cfRule type="expression" dxfId="568" priority="27">
      <formula>OR(WEEKDAY(R$3)=7,WEEKDAY(R$3)=1)</formula>
    </cfRule>
  </conditionalFormatting>
  <conditionalFormatting sqref="R35">
    <cfRule type="expression" dxfId="567" priority="34">
      <formula>OR(WEEKDAY(R$3)=7,WEEKDAY(R$3)=1)</formula>
    </cfRule>
  </conditionalFormatting>
  <conditionalFormatting sqref="S5:S14">
    <cfRule type="expression" dxfId="566" priority="47">
      <formula>OR(WEEKDAY(S$3)=7,WEEKDAY(S$3)=1)</formula>
    </cfRule>
  </conditionalFormatting>
  <conditionalFormatting sqref="S24:S25">
    <cfRule type="expression" dxfId="565" priority="417">
      <formula>OR(WEEKDAY(S$3)=7,WEEKDAY(S$3)=1)</formula>
    </cfRule>
  </conditionalFormatting>
  <conditionalFormatting sqref="S31:S39">
    <cfRule type="expression" dxfId="564" priority="653">
      <formula>OR(WEEKDAY(S$3)=7,WEEKDAY(S$3)=1)</formula>
    </cfRule>
  </conditionalFormatting>
  <conditionalFormatting sqref="S18:T23">
    <cfRule type="expression" dxfId="563" priority="471">
      <formula>OR(WEEKDAY(S$3)=7,WEEKDAY(S$3)=1)</formula>
    </cfRule>
  </conditionalFormatting>
  <conditionalFormatting sqref="S26:T27">
    <cfRule type="expression" dxfId="562" priority="410">
      <formula>OR(WEEKDAY(S$3)=7,WEEKDAY(S$3)=1)</formula>
    </cfRule>
  </conditionalFormatting>
  <conditionalFormatting sqref="S30:T30">
    <cfRule type="expression" dxfId="561" priority="658">
      <formula>OR(WEEKDAY(S$3)=7,WEEKDAY(S$3)=1)</formula>
    </cfRule>
  </conditionalFormatting>
  <conditionalFormatting sqref="S32:T33 S41:T41">
    <cfRule type="expression" dxfId="560" priority="657">
      <formula>OR(WEEKDAY(S$3)=7,WEEKDAY(S$3)=1)</formula>
    </cfRule>
  </conditionalFormatting>
  <conditionalFormatting sqref="S4:AH4">
    <cfRule type="expression" dxfId="559" priority="18">
      <formula>OR(WEEKDAY(S$3)=7,WEEKDAY(S$3)=1)</formula>
    </cfRule>
  </conditionalFormatting>
  <conditionalFormatting sqref="T5:T15">
    <cfRule type="expression" dxfId="558" priority="467">
      <formula>OR(WEEKDAY(T$3)=7,WEEKDAY(T$3)=1)</formula>
    </cfRule>
  </conditionalFormatting>
  <conditionalFormatting sqref="T25">
    <cfRule type="expression" dxfId="557" priority="432">
      <formula>OR(WEEKDAY(T$3)=7,WEEKDAY(T$3)=1)</formula>
    </cfRule>
  </conditionalFormatting>
  <conditionalFormatting sqref="T31:T32">
    <cfRule type="expression" dxfId="556" priority="656">
      <formula>OR(WEEKDAY(T$3)=7,WEEKDAY(T$3)=1)</formula>
    </cfRule>
  </conditionalFormatting>
  <conditionalFormatting sqref="T34:T39">
    <cfRule type="expression" dxfId="555" priority="13">
      <formula>OR(WEEKDAY(T$3)=7,WEEKDAY(T$3)=1)</formula>
    </cfRule>
  </conditionalFormatting>
  <conditionalFormatting sqref="U5:V27">
    <cfRule type="expression" dxfId="554" priority="219">
      <formula>OR(WEEKDAY(U$3)=7,WEEKDAY(U$3)=1)</formula>
    </cfRule>
  </conditionalFormatting>
  <conditionalFormatting sqref="U30:V41">
    <cfRule type="expression" dxfId="553" priority="209">
      <formula>OR(WEEKDAY(U$3)=7,WEEKDAY(U$3)=1)</formula>
    </cfRule>
  </conditionalFormatting>
  <conditionalFormatting sqref="W20">
    <cfRule type="expression" dxfId="552" priority="45">
      <formula>OR(WEEKDAY(W$3)=7,WEEKDAY(W$3)=1)</formula>
    </cfRule>
  </conditionalFormatting>
  <conditionalFormatting sqref="W38:W39">
    <cfRule type="expression" dxfId="551" priority="534">
      <formula>OR(WEEKDAY(W$3)=7,WEEKDAY(W$3)=1)</formula>
    </cfRule>
  </conditionalFormatting>
  <conditionalFormatting sqref="W5:X19">
    <cfRule type="expression" dxfId="550" priority="9">
      <formula>OR(WEEKDAY(W$3)=7,WEEKDAY(W$3)=1)</formula>
    </cfRule>
  </conditionalFormatting>
  <conditionalFormatting sqref="W22:X27">
    <cfRule type="expression" dxfId="549" priority="26">
      <formula>OR(WEEKDAY(W$3)=7,WEEKDAY(W$3)=1)</formula>
    </cfRule>
  </conditionalFormatting>
  <conditionalFormatting sqref="W30:X37">
    <cfRule type="expression" dxfId="548" priority="533">
      <formula>OR(WEEKDAY(W$3)=7,WEEKDAY(W$3)=1)</formula>
    </cfRule>
  </conditionalFormatting>
  <conditionalFormatting sqref="W40:X41">
    <cfRule type="expression" dxfId="547" priority="531">
      <formula>OR(WEEKDAY(W$3)=7,WEEKDAY(W$3)=1)</formula>
    </cfRule>
  </conditionalFormatting>
  <conditionalFormatting sqref="X20:X21">
    <cfRule type="expression" dxfId="546" priority="550">
      <formula>OR(WEEKDAY(X$3)=7,WEEKDAY(X$3)=1)</formula>
    </cfRule>
  </conditionalFormatting>
  <conditionalFormatting sqref="X38:Y38">
    <cfRule type="expression" dxfId="545" priority="11">
      <formula>OR(WEEKDAY(X$3)=7,WEEKDAY(X$3)=1)</formula>
    </cfRule>
  </conditionalFormatting>
  <conditionalFormatting sqref="Y8:Y9">
    <cfRule type="expression" dxfId="544" priority="644">
      <formula>OR(WEEKDAY(Y$3)=7,WEEKDAY(Y$3)=1)</formula>
    </cfRule>
  </conditionalFormatting>
  <conditionalFormatting sqref="Y16">
    <cfRule type="expression" dxfId="543" priority="5">
      <formula>OR(WEEKDAY(Y$3)=7,WEEKDAY(Y$3)=1)</formula>
    </cfRule>
  </conditionalFormatting>
  <conditionalFormatting sqref="Y18:Y22">
    <cfRule type="expression" dxfId="542" priority="720">
      <formula>OR(WEEKDAY(Y$3)=7,WEEKDAY(Y$3)=1)</formula>
    </cfRule>
  </conditionalFormatting>
  <conditionalFormatting sqref="Z19:Z20">
    <cfRule type="expression" dxfId="541" priority="40">
      <formula>OR(WEEKDAY(Z$3)=7,WEEKDAY(Z$3)=1)</formula>
    </cfRule>
  </conditionalFormatting>
  <conditionalFormatting sqref="Z31:Z37">
    <cfRule type="expression" dxfId="540" priority="646">
      <formula>OR(WEEKDAY(Z$3)=7,WEEKDAY(Z$3)=1)</formula>
    </cfRule>
  </conditionalFormatting>
  <conditionalFormatting sqref="Z5:AA18">
    <cfRule type="expression" dxfId="539" priority="466">
      <formula>OR(WEEKDAY(Z$3)=7,WEEKDAY(Z$3)=1)</formula>
    </cfRule>
  </conditionalFormatting>
  <conditionalFormatting sqref="Z22:AA27">
    <cfRule type="expression" dxfId="538" priority="402">
      <formula>OR(WEEKDAY(Z$3)=7,WEEKDAY(Z$3)=1)</formula>
    </cfRule>
  </conditionalFormatting>
  <conditionalFormatting sqref="Z30:AA30">
    <cfRule type="expression" dxfId="537" priority="651">
      <formula>OR(WEEKDAY(Z$3)=7,WEEKDAY(Z$3)=1)</formula>
    </cfRule>
  </conditionalFormatting>
  <conditionalFormatting sqref="Z32:AA33">
    <cfRule type="expression" dxfId="536" priority="650">
      <formula>OR(WEEKDAY(Z$3)=7,WEEKDAY(Z$3)=1)</formula>
    </cfRule>
  </conditionalFormatting>
  <conditionalFormatting sqref="Z38:AA41">
    <cfRule type="expression" dxfId="535" priority="54">
      <formula>OR(WEEKDAY(Z$3)=7,WEEKDAY(Z$3)=1)</formula>
    </cfRule>
  </conditionalFormatting>
  <conditionalFormatting sqref="AA19:AA21">
    <cfRule type="expression" dxfId="534" priority="470">
      <formula>OR(WEEKDAY(AA$3)=7,WEEKDAY(AA$3)=1)</formula>
    </cfRule>
  </conditionalFormatting>
  <conditionalFormatting sqref="AA31:AA32">
    <cfRule type="expression" dxfId="533" priority="649">
      <formula>OR(WEEKDAY(AA$3)=7,WEEKDAY(AA$3)=1)</formula>
    </cfRule>
  </conditionalFormatting>
  <conditionalFormatting sqref="AA34:AA37">
    <cfRule type="expression" dxfId="532" priority="22">
      <formula>OR(WEEKDAY(AA$3)=7,WEEKDAY(AA$3)=1)</formula>
    </cfRule>
  </conditionalFormatting>
  <conditionalFormatting sqref="AB5:AC27">
    <cfRule type="expression" dxfId="531" priority="160">
      <formula>OR(WEEKDAY(AB$3)=7,WEEKDAY(AB$3)=1)</formula>
    </cfRule>
  </conditionalFormatting>
  <conditionalFormatting sqref="AB30:AC41">
    <cfRule type="expression" dxfId="530" priority="150">
      <formula>OR(WEEKDAY(AB$3)=7,WEEKDAY(AB$3)=1)</formula>
    </cfRule>
  </conditionalFormatting>
  <conditionalFormatting sqref="AD5:AD8">
    <cfRule type="expression" dxfId="529" priority="44">
      <formula>OR(WEEKDAY(AD$3)=7,WEEKDAY(AD$3)=1)</formula>
    </cfRule>
  </conditionalFormatting>
  <conditionalFormatting sqref="AD20">
    <cfRule type="expression" dxfId="528" priority="38">
      <formula>OR(WEEKDAY(AD$3)=7,WEEKDAY(AD$3)=1)</formula>
    </cfRule>
  </conditionalFormatting>
  <conditionalFormatting sqref="AD36">
    <cfRule type="expression" dxfId="527" priority="529">
      <formula>OR(WEEKDAY(AD$3)=7,WEEKDAY(AD$3)=1)</formula>
    </cfRule>
  </conditionalFormatting>
  <conditionalFormatting sqref="AD10:AE19">
    <cfRule type="expression" dxfId="526" priority="547">
      <formula>OR(WEEKDAY(AD$3)=7,WEEKDAY(AD$3)=1)</formula>
    </cfRule>
  </conditionalFormatting>
  <conditionalFormatting sqref="AD22:AE27">
    <cfRule type="expression" dxfId="525" priority="403">
      <formula>OR(WEEKDAY(AD$3)=7,WEEKDAY(AD$3)=1)</formula>
    </cfRule>
  </conditionalFormatting>
  <conditionalFormatting sqref="AD30:AE35">
    <cfRule type="expression" dxfId="524" priority="528">
      <formula>OR(WEEKDAY(AD$3)=7,WEEKDAY(AD$3)=1)</formula>
    </cfRule>
  </conditionalFormatting>
  <conditionalFormatting sqref="AD38:AE41">
    <cfRule type="expression" dxfId="523" priority="12">
      <formula>OR(WEEKDAY(AD$3)=7,WEEKDAY(AD$3)=1)</formula>
    </cfRule>
  </conditionalFormatting>
  <conditionalFormatting sqref="AE5:AE9">
    <cfRule type="expression" dxfId="522" priority="567">
      <formula>OR(WEEKDAY(AE$3)=7,WEEKDAY(AE$3)=1)</formula>
    </cfRule>
  </conditionalFormatting>
  <conditionalFormatting sqref="AE20:AE21">
    <cfRule type="expression" dxfId="521" priority="546">
      <formula>OR(WEEKDAY(AE$3)=7,WEEKDAY(AE$3)=1)</formula>
    </cfRule>
  </conditionalFormatting>
  <conditionalFormatting sqref="AE29">
    <cfRule type="expression" dxfId="520" priority="389">
      <formula>OR(WEEKDAY(AE$3)=7,WEEKDAY(AE$3)=1)</formula>
    </cfRule>
  </conditionalFormatting>
  <conditionalFormatting sqref="AF6:AF7">
    <cfRule type="expression" dxfId="519" priority="724">
      <formula>OR(WEEKDAY(AF$3)=7,WEEKDAY(AF$3)=1)</formula>
    </cfRule>
  </conditionalFormatting>
  <conditionalFormatting sqref="AF10">
    <cfRule type="expression" dxfId="518" priority="6">
      <formula>OR(WEEKDAY(AF$3)=7,WEEKDAY(AF$3)=1)</formula>
    </cfRule>
  </conditionalFormatting>
  <conditionalFormatting sqref="AF34">
    <cfRule type="expression" dxfId="517" priority="39">
      <formula>OR(WEEKDAY(AF$3)=7,WEEKDAY(AF$3)=1)</formula>
    </cfRule>
  </conditionalFormatting>
  <conditionalFormatting sqref="AF8:AG9">
    <cfRule type="expression" dxfId="516" priority="723">
      <formula>OR(WEEKDAY(AF$3)=7,WEEKDAY(AF$3)=1)</formula>
    </cfRule>
  </conditionalFormatting>
  <conditionalFormatting sqref="AF17:AG17">
    <cfRule type="expression" dxfId="515" priority="7">
      <formula>OR(WEEKDAY(AF$3)=7,WEEKDAY(AF$3)=1)</formula>
    </cfRule>
  </conditionalFormatting>
  <conditionalFormatting sqref="AF21:AG21">
    <cfRule type="expression" dxfId="514" priority="501">
      <formula>OR(WEEKDAY(AF$3)=7,WEEKDAY(AF$3)=1)</formula>
    </cfRule>
  </conditionalFormatting>
  <conditionalFormatting sqref="AF25:AH25">
    <cfRule type="expression" dxfId="513" priority="31">
      <formula>OR(WEEKDAY(AF$3)=7,WEEKDAY(AF$3)=1)</formula>
    </cfRule>
  </conditionalFormatting>
  <conditionalFormatting sqref="AG5:AG6">
    <cfRule type="expression" dxfId="512" priority="41">
      <formula>OR(WEEKDAY(AG$3)=7,WEEKDAY(AG$3)=1)</formula>
    </cfRule>
  </conditionalFormatting>
  <conditionalFormatting sqref="AG11">
    <cfRule type="expression" dxfId="511" priority="8">
      <formula>OR(WEEKDAY(AG$3)=7,WEEKDAY(AG$3)=1)</formula>
    </cfRule>
  </conditionalFormatting>
  <conditionalFormatting sqref="AG14">
    <cfRule type="expression" dxfId="510" priority="20">
      <formula>OR(WEEKDAY(AG$3)=7,WEEKDAY(AG$3)=1)</formula>
    </cfRule>
  </conditionalFormatting>
  <conditionalFormatting sqref="AG33">
    <cfRule type="expression" dxfId="509" priority="37">
      <formula>OR(WEEKDAY(AG$3)=7,WEEKDAY(AG$3)=1)</formula>
    </cfRule>
  </conditionalFormatting>
  <conditionalFormatting sqref="AH9:AH10">
    <cfRule type="expression" dxfId="508" priority="4">
      <formula>OR(WEEKDAY(AH$3)=7,WEEKDAY(AH$3)=1)</formula>
    </cfRule>
  </conditionalFormatting>
  <conditionalFormatting sqref="AH23">
    <cfRule type="expression" dxfId="507" priority="35">
      <formula>OR(WEEKDAY(AH$3)=7,WEEKDAY(AH$3)=1)</formula>
    </cfRule>
  </conditionalFormatting>
  <conditionalFormatting sqref="AH29">
    <cfRule type="expression" dxfId="506" priority="381">
      <formula>OR(WEEKDAY(AH$3)=7,WEEKDAY(AH$3)=1)</formula>
    </cfRule>
  </conditionalFormatting>
  <conditionalFormatting sqref="AI4:AI41">
    <cfRule type="expression" dxfId="505" priority="119">
      <formula>OR(WEEKDAY(AI$3)=7,WEEKDAY(AI$3)=1)</formula>
    </cfRule>
  </conditionalFormatting>
  <pageMargins left="0.25" right="0.25" top="0.75" bottom="0.75" header="0.3" footer="0.3"/>
  <pageSetup paperSize="9" scale="49" fitToHeight="0" orientation="landscape" cellComments="asDisplayed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F60B-5137-434A-8BB9-776AC5057700}">
  <sheetPr>
    <pageSetUpPr fitToPage="1"/>
  </sheetPr>
  <dimension ref="A1:BO44"/>
  <sheetViews>
    <sheetView topLeftCell="B1" zoomScale="85" zoomScaleNormal="85" workbookViewId="0">
      <pane xSplit="2" ySplit="2" topLeftCell="D27" activePane="bottomRight" state="frozen"/>
      <selection activeCell="B1" sqref="B1"/>
      <selection pane="topRight" activeCell="D1" sqref="D1"/>
      <selection pane="bottomLeft" activeCell="B3" sqref="B3"/>
      <selection pane="bottomRight" activeCell="O37" sqref="O37"/>
    </sheetView>
  </sheetViews>
  <sheetFormatPr defaultColWidth="9" defaultRowHeight="15.6" x14ac:dyDescent="0.4"/>
  <cols>
    <col min="1" max="1" width="17.19921875" style="27" customWidth="1"/>
    <col min="2" max="2" width="5.8984375" style="27" customWidth="1"/>
    <col min="3" max="3" width="13" style="35" customWidth="1"/>
    <col min="4" max="4" width="7.3984375" style="35" customWidth="1"/>
    <col min="5" max="34" width="5.3984375" style="27" customWidth="1"/>
    <col min="35" max="37" width="9" style="27" customWidth="1"/>
    <col min="38" max="38" width="9.59765625" style="36" customWidth="1"/>
    <col min="39" max="39" width="9" style="27"/>
    <col min="40" max="40" width="10" style="27" bestFit="1" customWidth="1"/>
    <col min="41" max="16384" width="9" style="27"/>
  </cols>
  <sheetData>
    <row r="1" spans="1:67" s="15" customFormat="1" ht="36.75" customHeight="1" thickBot="1" x14ac:dyDescent="0.45">
      <c r="A1" s="130">
        <v>45078</v>
      </c>
      <c r="B1" s="130"/>
      <c r="C1" s="131"/>
      <c r="D1" s="132">
        <v>45809</v>
      </c>
      <c r="E1" s="133"/>
      <c r="F1" s="133"/>
      <c r="G1" s="133"/>
      <c r="H1" s="133"/>
      <c r="I1" s="13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L1" s="16"/>
    </row>
    <row r="2" spans="1:67" s="23" customFormat="1" ht="21.75" customHeight="1" x14ac:dyDescent="0.4">
      <c r="A2" s="192" t="s">
        <v>37</v>
      </c>
      <c r="B2" s="135" t="s">
        <v>38</v>
      </c>
      <c r="C2" s="139" t="s">
        <v>39</v>
      </c>
      <c r="D2" s="64" t="s">
        <v>40</v>
      </c>
      <c r="E2" s="18">
        <f>D1</f>
        <v>45809</v>
      </c>
      <c r="F2" s="19">
        <f>E2+1</f>
        <v>45810</v>
      </c>
      <c r="G2" s="66">
        <f t="shared" ref="G2:AE2" si="0">F2+1</f>
        <v>45811</v>
      </c>
      <c r="H2" s="19">
        <f t="shared" si="0"/>
        <v>45812</v>
      </c>
      <c r="I2" s="19">
        <f t="shared" si="0"/>
        <v>45813</v>
      </c>
      <c r="J2" s="66">
        <f t="shared" si="0"/>
        <v>45814</v>
      </c>
      <c r="K2" s="19">
        <f t="shared" si="0"/>
        <v>45815</v>
      </c>
      <c r="L2" s="19">
        <f t="shared" si="0"/>
        <v>45816</v>
      </c>
      <c r="M2" s="19">
        <f t="shared" si="0"/>
        <v>45817</v>
      </c>
      <c r="N2" s="19">
        <f t="shared" si="0"/>
        <v>45818</v>
      </c>
      <c r="O2" s="19">
        <f t="shared" si="0"/>
        <v>45819</v>
      </c>
      <c r="P2" s="19">
        <f t="shared" si="0"/>
        <v>45820</v>
      </c>
      <c r="Q2" s="19">
        <f t="shared" si="0"/>
        <v>45821</v>
      </c>
      <c r="R2" s="19">
        <f t="shared" si="0"/>
        <v>45822</v>
      </c>
      <c r="S2" s="18">
        <f t="shared" si="0"/>
        <v>45823</v>
      </c>
      <c r="T2" s="19">
        <f t="shared" si="0"/>
        <v>45824</v>
      </c>
      <c r="U2" s="19">
        <f t="shared" si="0"/>
        <v>45825</v>
      </c>
      <c r="V2" s="19">
        <f t="shared" si="0"/>
        <v>45826</v>
      </c>
      <c r="W2" s="19">
        <f t="shared" si="0"/>
        <v>45827</v>
      </c>
      <c r="X2" s="19">
        <f t="shared" si="0"/>
        <v>45828</v>
      </c>
      <c r="Y2" s="19">
        <f t="shared" si="0"/>
        <v>45829</v>
      </c>
      <c r="Z2" s="19">
        <f t="shared" si="0"/>
        <v>45830</v>
      </c>
      <c r="AA2" s="20">
        <f t="shared" si="0"/>
        <v>45831</v>
      </c>
      <c r="AB2" s="20">
        <f t="shared" si="0"/>
        <v>45832</v>
      </c>
      <c r="AC2" s="18">
        <f>AB2+1</f>
        <v>45833</v>
      </c>
      <c r="AD2" s="19">
        <f t="shared" si="0"/>
        <v>45834</v>
      </c>
      <c r="AE2" s="19">
        <f t="shared" si="0"/>
        <v>45835</v>
      </c>
      <c r="AF2" s="19">
        <v>28</v>
      </c>
      <c r="AG2" s="19">
        <v>29</v>
      </c>
      <c r="AH2" s="19">
        <v>30</v>
      </c>
      <c r="AI2" s="141" t="s">
        <v>41</v>
      </c>
      <c r="AJ2" s="145" t="s">
        <v>42</v>
      </c>
      <c r="AK2" s="147" t="s">
        <v>43</v>
      </c>
      <c r="AL2" s="149" t="s">
        <v>44</v>
      </c>
      <c r="AM2" s="151" t="s">
        <v>45</v>
      </c>
      <c r="AN2" s="153" t="s">
        <v>46</v>
      </c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</row>
    <row r="3" spans="1:67" s="24" customFormat="1" ht="18" thickBot="1" x14ac:dyDescent="0.45">
      <c r="A3" s="193"/>
      <c r="B3" s="136"/>
      <c r="C3" s="140"/>
      <c r="D3" s="65" t="s">
        <v>47</v>
      </c>
      <c r="E3" s="75">
        <f>E2</f>
        <v>45809</v>
      </c>
      <c r="F3" s="39">
        <f t="shared" ref="F3:AH3" si="1">F2</f>
        <v>45810</v>
      </c>
      <c r="G3" s="73">
        <f t="shared" si="1"/>
        <v>45811</v>
      </c>
      <c r="H3" s="39">
        <f t="shared" si="1"/>
        <v>45812</v>
      </c>
      <c r="I3" s="39">
        <f t="shared" si="1"/>
        <v>45813</v>
      </c>
      <c r="J3" s="73">
        <f t="shared" si="1"/>
        <v>45814</v>
      </c>
      <c r="K3" s="75">
        <f t="shared" si="1"/>
        <v>45815</v>
      </c>
      <c r="L3" s="75">
        <f t="shared" si="1"/>
        <v>45816</v>
      </c>
      <c r="M3" s="39">
        <f t="shared" si="1"/>
        <v>45817</v>
      </c>
      <c r="N3" s="39">
        <f t="shared" si="1"/>
        <v>45818</v>
      </c>
      <c r="O3" s="39">
        <f t="shared" si="1"/>
        <v>45819</v>
      </c>
      <c r="P3" s="39">
        <f t="shared" si="1"/>
        <v>45820</v>
      </c>
      <c r="Q3" s="39">
        <f t="shared" si="1"/>
        <v>45821</v>
      </c>
      <c r="R3" s="75">
        <f t="shared" si="1"/>
        <v>45822</v>
      </c>
      <c r="S3" s="75">
        <f t="shared" si="1"/>
        <v>45823</v>
      </c>
      <c r="T3" s="39">
        <f t="shared" si="1"/>
        <v>45824</v>
      </c>
      <c r="U3" s="39">
        <f t="shared" si="1"/>
        <v>45825</v>
      </c>
      <c r="V3" s="39">
        <f t="shared" si="1"/>
        <v>45826</v>
      </c>
      <c r="W3" s="39">
        <f t="shared" si="1"/>
        <v>45827</v>
      </c>
      <c r="X3" s="39">
        <f t="shared" si="1"/>
        <v>45828</v>
      </c>
      <c r="Y3" s="75">
        <f t="shared" si="1"/>
        <v>45829</v>
      </c>
      <c r="Z3" s="75">
        <f t="shared" si="1"/>
        <v>45830</v>
      </c>
      <c r="AA3" s="39">
        <f t="shared" si="1"/>
        <v>45831</v>
      </c>
      <c r="AB3" s="39">
        <f t="shared" si="1"/>
        <v>45832</v>
      </c>
      <c r="AC3" s="39">
        <f t="shared" si="1"/>
        <v>45833</v>
      </c>
      <c r="AD3" s="39">
        <f t="shared" si="1"/>
        <v>45834</v>
      </c>
      <c r="AE3" s="39">
        <f t="shared" si="1"/>
        <v>45835</v>
      </c>
      <c r="AF3" s="75">
        <f t="shared" si="1"/>
        <v>28</v>
      </c>
      <c r="AG3" s="75">
        <f t="shared" si="1"/>
        <v>29</v>
      </c>
      <c r="AH3" s="39">
        <f t="shared" si="1"/>
        <v>30</v>
      </c>
      <c r="AI3" s="142"/>
      <c r="AJ3" s="146"/>
      <c r="AK3" s="148"/>
      <c r="AL3" s="150"/>
      <c r="AM3" s="152"/>
      <c r="AN3" s="154"/>
    </row>
    <row r="4" spans="1:67" ht="21.75" customHeight="1" thickBot="1" x14ac:dyDescent="0.45">
      <c r="A4" s="155" t="s">
        <v>48</v>
      </c>
      <c r="B4" s="190" t="s">
        <v>67</v>
      </c>
      <c r="C4" s="159" t="s">
        <v>50</v>
      </c>
      <c r="D4" s="33" t="s">
        <v>51</v>
      </c>
      <c r="E4" s="43"/>
      <c r="F4" s="34" t="s">
        <v>508</v>
      </c>
      <c r="G4" s="67" t="s">
        <v>70</v>
      </c>
      <c r="H4" s="34" t="s">
        <v>381</v>
      </c>
      <c r="I4" s="34" t="s">
        <v>193</v>
      </c>
      <c r="J4" s="67" t="s">
        <v>70</v>
      </c>
      <c r="K4" s="43" t="s">
        <v>70</v>
      </c>
      <c r="L4" s="43" t="s">
        <v>70</v>
      </c>
      <c r="M4" s="34" t="s">
        <v>211</v>
      </c>
      <c r="N4" s="34" t="s">
        <v>120</v>
      </c>
      <c r="O4" s="34" t="s">
        <v>509</v>
      </c>
      <c r="P4" s="34" t="s">
        <v>476</v>
      </c>
      <c r="Q4" s="34" t="s">
        <v>316</v>
      </c>
      <c r="R4" s="43" t="s">
        <v>70</v>
      </c>
      <c r="S4" s="43" t="s">
        <v>70</v>
      </c>
      <c r="T4" s="34" t="s">
        <v>429</v>
      </c>
      <c r="U4" s="34" t="s">
        <v>137</v>
      </c>
      <c r="V4" s="34" t="s">
        <v>75</v>
      </c>
      <c r="W4" s="34" t="s">
        <v>137</v>
      </c>
      <c r="X4" s="34" t="s">
        <v>300</v>
      </c>
      <c r="Y4" s="43" t="s">
        <v>70</v>
      </c>
      <c r="Z4" s="43" t="s">
        <v>70</v>
      </c>
      <c r="AA4" s="34" t="s">
        <v>381</v>
      </c>
      <c r="AB4" s="34" t="s">
        <v>405</v>
      </c>
      <c r="AC4" s="78">
        <v>0.64097222222222217</v>
      </c>
      <c r="AD4" s="34" t="s">
        <v>510</v>
      </c>
      <c r="AE4" s="34" t="s">
        <v>193</v>
      </c>
      <c r="AF4" s="43" t="s">
        <v>70</v>
      </c>
      <c r="AG4" s="43" t="s">
        <v>70</v>
      </c>
      <c r="AH4" s="34" t="s">
        <v>137</v>
      </c>
      <c r="AI4" s="160" t="s">
        <v>522</v>
      </c>
      <c r="AJ4" s="161"/>
      <c r="AK4" s="108"/>
      <c r="AL4" s="110">
        <v>0.5</v>
      </c>
      <c r="AM4" s="111">
        <f>(F4+H4+I4+M4+N4+O4+P4+Q4+T4+U4+V4+W4+X4+AA4+AB4+AD4+AE4+AH4)/18</f>
        <v>0.32256944444444441</v>
      </c>
      <c r="AN4" s="105">
        <f>(F5+H5+I5+M5+N5+P5+Q5+T5+U5+W5+X5+AA5+AB5+AC5+AD5+AE5+AH5)/17</f>
        <v>0.78651960784313713</v>
      </c>
      <c r="AP4" s="24"/>
    </row>
    <row r="5" spans="1:67" ht="21.75" customHeight="1" thickTop="1" thickBot="1" x14ac:dyDescent="0.45">
      <c r="A5" s="156"/>
      <c r="B5" s="186"/>
      <c r="C5" s="120"/>
      <c r="D5" s="25" t="s">
        <v>52</v>
      </c>
      <c r="E5" s="44"/>
      <c r="F5" s="26" t="s">
        <v>338</v>
      </c>
      <c r="G5" s="68" t="s">
        <v>70</v>
      </c>
      <c r="H5" s="26" t="s">
        <v>89</v>
      </c>
      <c r="I5" s="26" t="s">
        <v>89</v>
      </c>
      <c r="J5" s="68" t="s">
        <v>70</v>
      </c>
      <c r="K5" s="44" t="s">
        <v>70</v>
      </c>
      <c r="L5" s="44" t="s">
        <v>70</v>
      </c>
      <c r="M5" s="26" t="s">
        <v>326</v>
      </c>
      <c r="N5" s="26" t="s">
        <v>150</v>
      </c>
      <c r="O5" s="41" t="s">
        <v>279</v>
      </c>
      <c r="P5" s="26" t="s">
        <v>102</v>
      </c>
      <c r="Q5" s="26" t="s">
        <v>83</v>
      </c>
      <c r="R5" s="44" t="s">
        <v>70</v>
      </c>
      <c r="S5" s="44" t="s">
        <v>70</v>
      </c>
      <c r="T5" s="26" t="s">
        <v>157</v>
      </c>
      <c r="U5" s="26" t="s">
        <v>81</v>
      </c>
      <c r="V5" s="26" t="s">
        <v>511</v>
      </c>
      <c r="W5" s="26" t="s">
        <v>101</v>
      </c>
      <c r="X5" s="26" t="s">
        <v>92</v>
      </c>
      <c r="Y5" s="44" t="s">
        <v>70</v>
      </c>
      <c r="Z5" s="44" t="s">
        <v>70</v>
      </c>
      <c r="AA5" s="26" t="s">
        <v>309</v>
      </c>
      <c r="AB5" s="26" t="s">
        <v>90</v>
      </c>
      <c r="AC5" s="26" t="s">
        <v>289</v>
      </c>
      <c r="AD5" s="26" t="s">
        <v>103</v>
      </c>
      <c r="AE5" s="26" t="s">
        <v>84</v>
      </c>
      <c r="AF5" s="44" t="s">
        <v>70</v>
      </c>
      <c r="AG5" s="44" t="s">
        <v>70</v>
      </c>
      <c r="AH5" s="26" t="s">
        <v>128</v>
      </c>
      <c r="AI5" s="127"/>
      <c r="AJ5" s="162"/>
      <c r="AK5" s="194"/>
      <c r="AL5" s="195"/>
      <c r="AM5" s="111"/>
      <c r="AN5" s="181"/>
      <c r="AO5" s="28"/>
    </row>
    <row r="6" spans="1:67" ht="21.75" customHeight="1" thickTop="1" thickBot="1" x14ac:dyDescent="0.45">
      <c r="A6" s="156"/>
      <c r="B6" s="186" t="s">
        <v>49</v>
      </c>
      <c r="C6" s="120" t="s">
        <v>424</v>
      </c>
      <c r="D6" s="25" t="s">
        <v>51</v>
      </c>
      <c r="E6" s="44"/>
      <c r="F6" s="26" t="s">
        <v>74</v>
      </c>
      <c r="G6" s="68" t="s">
        <v>70</v>
      </c>
      <c r="H6" s="26" t="s">
        <v>371</v>
      </c>
      <c r="I6" s="26" t="s">
        <v>95</v>
      </c>
      <c r="J6" s="68" t="s">
        <v>70</v>
      </c>
      <c r="K6" s="44" t="s">
        <v>70</v>
      </c>
      <c r="L6" s="44" t="s">
        <v>70</v>
      </c>
      <c r="M6" s="26" t="s">
        <v>179</v>
      </c>
      <c r="N6" s="29" t="s">
        <v>163</v>
      </c>
      <c r="O6" s="26" t="s">
        <v>93</v>
      </c>
      <c r="P6" s="26" t="s">
        <v>110</v>
      </c>
      <c r="Q6" s="26" t="s">
        <v>77</v>
      </c>
      <c r="R6" s="44" t="s">
        <v>70</v>
      </c>
      <c r="S6" s="44" t="s">
        <v>70</v>
      </c>
      <c r="T6" s="26" t="s">
        <v>95</v>
      </c>
      <c r="U6" s="26" t="s">
        <v>134</v>
      </c>
      <c r="V6" s="26" t="s">
        <v>110</v>
      </c>
      <c r="W6" s="26" t="s">
        <v>311</v>
      </c>
      <c r="X6" s="26" t="s">
        <v>137</v>
      </c>
      <c r="Y6" s="44" t="s">
        <v>70</v>
      </c>
      <c r="Z6" s="44" t="s">
        <v>70</v>
      </c>
      <c r="AA6" s="26" t="s">
        <v>120</v>
      </c>
      <c r="AB6" s="26" t="s">
        <v>179</v>
      </c>
      <c r="AC6" s="26" t="s">
        <v>95</v>
      </c>
      <c r="AD6" s="26" t="s">
        <v>72</v>
      </c>
      <c r="AE6" s="26" t="s">
        <v>74</v>
      </c>
      <c r="AF6" s="44" t="s">
        <v>70</v>
      </c>
      <c r="AG6" s="44" t="s">
        <v>70</v>
      </c>
      <c r="AH6" s="26" t="s">
        <v>99</v>
      </c>
      <c r="AI6" s="160">
        <v>1</v>
      </c>
      <c r="AJ6" s="106" t="s">
        <v>523</v>
      </c>
      <c r="AK6" s="194" t="s">
        <v>524</v>
      </c>
      <c r="AL6" s="195"/>
      <c r="AM6" s="111">
        <f>(F6+H6+I6+M6+N6+O6+P6+Q6+T6+U6+V6+W6+X6+AA6+AB6+AC6+AD6+AE6+AH6)/19</f>
        <v>0.35687134502923973</v>
      </c>
      <c r="AN6" s="181">
        <f>(F7+H7+I7+M7+N7+O7+P7+Q7+T7+U7+W7+X7+AA7+AB7+AC7+AD7+AE7+AH7)/18</f>
        <v>0.79486882716049378</v>
      </c>
      <c r="AO6" s="28"/>
    </row>
    <row r="7" spans="1:67" ht="21.75" customHeight="1" thickTop="1" thickBot="1" x14ac:dyDescent="0.45">
      <c r="A7" s="156"/>
      <c r="B7" s="186"/>
      <c r="C7" s="120"/>
      <c r="D7" s="25" t="s">
        <v>52</v>
      </c>
      <c r="E7" s="44"/>
      <c r="F7" s="26" t="s">
        <v>154</v>
      </c>
      <c r="G7" s="68" t="s">
        <v>70</v>
      </c>
      <c r="H7" s="26" t="s">
        <v>102</v>
      </c>
      <c r="I7" s="26" t="s">
        <v>84</v>
      </c>
      <c r="J7" s="68" t="s">
        <v>70</v>
      </c>
      <c r="K7" s="44" t="s">
        <v>70</v>
      </c>
      <c r="L7" s="44" t="s">
        <v>70</v>
      </c>
      <c r="M7" s="26" t="s">
        <v>175</v>
      </c>
      <c r="N7" s="26" t="s">
        <v>115</v>
      </c>
      <c r="O7" s="26" t="s">
        <v>397</v>
      </c>
      <c r="P7" s="26" t="s">
        <v>158</v>
      </c>
      <c r="Q7" s="26" t="s">
        <v>123</v>
      </c>
      <c r="R7" s="44" t="s">
        <v>70</v>
      </c>
      <c r="S7" s="44" t="s">
        <v>70</v>
      </c>
      <c r="T7" s="26" t="s">
        <v>186</v>
      </c>
      <c r="U7" s="26" t="s">
        <v>81</v>
      </c>
      <c r="V7" s="26" t="s">
        <v>511</v>
      </c>
      <c r="W7" s="26" t="s">
        <v>101</v>
      </c>
      <c r="X7" s="26" t="s">
        <v>92</v>
      </c>
      <c r="Y7" s="44" t="s">
        <v>70</v>
      </c>
      <c r="Z7" s="44" t="s">
        <v>70</v>
      </c>
      <c r="AA7" s="26" t="s">
        <v>310</v>
      </c>
      <c r="AB7" s="26" t="s">
        <v>87</v>
      </c>
      <c r="AC7" s="26" t="s">
        <v>458</v>
      </c>
      <c r="AD7" s="26" t="s">
        <v>165</v>
      </c>
      <c r="AE7" s="26" t="s">
        <v>89</v>
      </c>
      <c r="AF7" s="44" t="s">
        <v>70</v>
      </c>
      <c r="AG7" s="44" t="s">
        <v>70</v>
      </c>
      <c r="AH7" s="26" t="s">
        <v>514</v>
      </c>
      <c r="AI7" s="127"/>
      <c r="AJ7" s="106"/>
      <c r="AK7" s="194"/>
      <c r="AL7" s="195"/>
      <c r="AM7" s="111"/>
      <c r="AN7" s="181"/>
      <c r="AO7" s="28"/>
    </row>
    <row r="8" spans="1:67" ht="21.75" customHeight="1" thickTop="1" thickBot="1" x14ac:dyDescent="0.45">
      <c r="A8" s="156"/>
      <c r="B8" s="186" t="s">
        <v>53</v>
      </c>
      <c r="C8" s="120" t="s">
        <v>54</v>
      </c>
      <c r="D8" s="25" t="s">
        <v>51</v>
      </c>
      <c r="E8" s="44"/>
      <c r="F8" s="26" t="s">
        <v>71</v>
      </c>
      <c r="G8" s="68" t="s">
        <v>70</v>
      </c>
      <c r="H8" s="26" t="s">
        <v>156</v>
      </c>
      <c r="I8" s="26" t="s">
        <v>149</v>
      </c>
      <c r="J8" s="68" t="s">
        <v>70</v>
      </c>
      <c r="K8" s="44" t="s">
        <v>70</v>
      </c>
      <c r="L8" s="44" t="s">
        <v>70</v>
      </c>
      <c r="M8" s="26" t="s">
        <v>149</v>
      </c>
      <c r="N8" s="26" t="s">
        <v>71</v>
      </c>
      <c r="O8" s="26" t="s">
        <v>160</v>
      </c>
      <c r="P8" s="26" t="s">
        <v>121</v>
      </c>
      <c r="Q8" s="26" t="s">
        <v>149</v>
      </c>
      <c r="R8" s="44" t="s">
        <v>70</v>
      </c>
      <c r="S8" s="44" t="s">
        <v>70</v>
      </c>
      <c r="T8" s="26" t="s">
        <v>122</v>
      </c>
      <c r="U8" s="26" t="s">
        <v>121</v>
      </c>
      <c r="V8" s="26" t="s">
        <v>149</v>
      </c>
      <c r="W8" s="26" t="s">
        <v>121</v>
      </c>
      <c r="X8" s="26" t="s">
        <v>121</v>
      </c>
      <c r="Y8" s="44" t="s">
        <v>70</v>
      </c>
      <c r="Z8" s="44" t="s">
        <v>70</v>
      </c>
      <c r="AA8" s="26" t="s">
        <v>156</v>
      </c>
      <c r="AB8" s="26" t="s">
        <v>156</v>
      </c>
      <c r="AC8" s="26" t="s">
        <v>149</v>
      </c>
      <c r="AD8" s="26" t="s">
        <v>121</v>
      </c>
      <c r="AE8" s="26" t="s">
        <v>156</v>
      </c>
      <c r="AF8" s="44" t="s">
        <v>70</v>
      </c>
      <c r="AG8" s="44" t="s">
        <v>70</v>
      </c>
      <c r="AH8" s="26" t="s">
        <v>71</v>
      </c>
      <c r="AI8" s="112"/>
      <c r="AJ8" s="106"/>
      <c r="AK8" s="194"/>
      <c r="AL8" s="195">
        <v>0.5</v>
      </c>
      <c r="AM8" s="111">
        <f>(F8+H8+I8+M8+N8+O8+P8+Q8+T8+U8+V8+W8+X8+AA8+AB8+AC8+AD8+AE8+AH8)/19</f>
        <v>0.3714181286549707</v>
      </c>
      <c r="AN8" s="181">
        <f>(F9+H9+I9+M9+N9+O9+P9+Q9+T9+U9+W9+X9+AA9+AB9+AC9+AD9+AH9)/17</f>
        <v>0.75870098039215683</v>
      </c>
    </row>
    <row r="9" spans="1:67" ht="21.75" customHeight="1" thickTop="1" thickBot="1" x14ac:dyDescent="0.45">
      <c r="A9" s="156"/>
      <c r="B9" s="186"/>
      <c r="C9" s="120"/>
      <c r="D9" s="25" t="s">
        <v>52</v>
      </c>
      <c r="E9" s="44"/>
      <c r="F9" s="26" t="s">
        <v>86</v>
      </c>
      <c r="G9" s="68" t="s">
        <v>70</v>
      </c>
      <c r="H9" s="26" t="s">
        <v>88</v>
      </c>
      <c r="I9" s="26" t="s">
        <v>85</v>
      </c>
      <c r="J9" s="68" t="s">
        <v>70</v>
      </c>
      <c r="K9" s="44" t="s">
        <v>70</v>
      </c>
      <c r="L9" s="44" t="s">
        <v>70</v>
      </c>
      <c r="M9" s="26" t="s">
        <v>222</v>
      </c>
      <c r="N9" s="26" t="s">
        <v>240</v>
      </c>
      <c r="O9" s="26" t="s">
        <v>184</v>
      </c>
      <c r="P9" s="26" t="s">
        <v>229</v>
      </c>
      <c r="Q9" s="26" t="s">
        <v>222</v>
      </c>
      <c r="R9" s="44" t="s">
        <v>70</v>
      </c>
      <c r="S9" s="44" t="s">
        <v>70</v>
      </c>
      <c r="T9" s="26" t="s">
        <v>266</v>
      </c>
      <c r="U9" s="26" t="s">
        <v>222</v>
      </c>
      <c r="V9" s="26" t="s">
        <v>291</v>
      </c>
      <c r="W9" s="26" t="s">
        <v>292</v>
      </c>
      <c r="X9" s="26" t="s">
        <v>362</v>
      </c>
      <c r="Y9" s="44" t="s">
        <v>70</v>
      </c>
      <c r="Z9" s="44" t="s">
        <v>70</v>
      </c>
      <c r="AA9" s="26" t="s">
        <v>229</v>
      </c>
      <c r="AB9" s="26" t="s">
        <v>234</v>
      </c>
      <c r="AC9" s="26" t="s">
        <v>228</v>
      </c>
      <c r="AD9" s="26" t="s">
        <v>229</v>
      </c>
      <c r="AE9" s="41" t="s">
        <v>279</v>
      </c>
      <c r="AF9" s="44" t="s">
        <v>70</v>
      </c>
      <c r="AG9" s="44" t="s">
        <v>70</v>
      </c>
      <c r="AH9" s="26" t="s">
        <v>434</v>
      </c>
      <c r="AI9" s="112"/>
      <c r="AJ9" s="106"/>
      <c r="AK9" s="194"/>
      <c r="AL9" s="195"/>
      <c r="AM9" s="111"/>
      <c r="AN9" s="181"/>
    </row>
    <row r="10" spans="1:67" ht="21.75" customHeight="1" thickTop="1" thickBot="1" x14ac:dyDescent="0.45">
      <c r="A10" s="157"/>
      <c r="B10" s="186" t="s">
        <v>53</v>
      </c>
      <c r="C10" s="120" t="s">
        <v>243</v>
      </c>
      <c r="D10" s="25" t="s">
        <v>51</v>
      </c>
      <c r="E10" s="44"/>
      <c r="F10" s="26" t="s">
        <v>73</v>
      </c>
      <c r="G10" s="68" t="s">
        <v>70</v>
      </c>
      <c r="H10" s="26" t="s">
        <v>68</v>
      </c>
      <c r="I10" s="26" t="s">
        <v>97</v>
      </c>
      <c r="J10" s="68" t="s">
        <v>70</v>
      </c>
      <c r="K10" s="44" t="s">
        <v>70</v>
      </c>
      <c r="L10" s="44" t="s">
        <v>70</v>
      </c>
      <c r="M10" s="26" t="s">
        <v>69</v>
      </c>
      <c r="N10" s="26" t="s">
        <v>300</v>
      </c>
      <c r="O10" s="26" t="s">
        <v>99</v>
      </c>
      <c r="P10" s="26" t="s">
        <v>142</v>
      </c>
      <c r="Q10" s="26" t="s">
        <v>73</v>
      </c>
      <c r="R10" s="44" t="s">
        <v>70</v>
      </c>
      <c r="S10" s="44" t="s">
        <v>70</v>
      </c>
      <c r="T10" s="26" t="s">
        <v>120</v>
      </c>
      <c r="U10" s="26" t="s">
        <v>99</v>
      </c>
      <c r="V10" s="26" t="s">
        <v>75</v>
      </c>
      <c r="W10" s="26" t="s">
        <v>369</v>
      </c>
      <c r="X10" s="26" t="s">
        <v>72</v>
      </c>
      <c r="Y10" s="44" t="s">
        <v>70</v>
      </c>
      <c r="Z10" s="44" t="s">
        <v>70</v>
      </c>
      <c r="AA10" s="26" t="s">
        <v>78</v>
      </c>
      <c r="AB10" s="26" t="s">
        <v>74</v>
      </c>
      <c r="AC10" s="26" t="s">
        <v>97</v>
      </c>
      <c r="AD10" s="26" t="s">
        <v>299</v>
      </c>
      <c r="AE10" s="26" t="s">
        <v>197</v>
      </c>
      <c r="AF10" s="44" t="s">
        <v>70</v>
      </c>
      <c r="AG10" s="44" t="s">
        <v>70</v>
      </c>
      <c r="AH10" s="26" t="s">
        <v>78</v>
      </c>
      <c r="AI10" s="194" t="s">
        <v>523</v>
      </c>
      <c r="AJ10" s="106"/>
      <c r="AK10" s="194"/>
      <c r="AL10" s="200"/>
      <c r="AM10" s="111">
        <f>(F10+H10+I10+M10+N10+O10+P10+Q10+T10+U10+V10+W10+X10+AA10+AB10+AC10+AD10+AE10+AH10)/19</f>
        <v>0.35584795321637425</v>
      </c>
      <c r="AN10" s="181">
        <f>(F11+H11+I11+M11+N11+O11+P11+Q11+T11+U11+W11+X11+AA11+AB11+AC11+AD11+AE11+AH11)/18</f>
        <v>0.78742283950617287</v>
      </c>
    </row>
    <row r="11" spans="1:67" ht="21.75" customHeight="1" thickTop="1" thickBot="1" x14ac:dyDescent="0.45">
      <c r="A11" s="157"/>
      <c r="B11" s="186"/>
      <c r="C11" s="120"/>
      <c r="D11" s="25" t="s">
        <v>52</v>
      </c>
      <c r="E11" s="44"/>
      <c r="F11" s="26" t="s">
        <v>154</v>
      </c>
      <c r="G11" s="68" t="s">
        <v>70</v>
      </c>
      <c r="H11" s="26" t="s">
        <v>102</v>
      </c>
      <c r="I11" s="26" t="s">
        <v>84</v>
      </c>
      <c r="J11" s="68" t="s">
        <v>70</v>
      </c>
      <c r="K11" s="44" t="s">
        <v>70</v>
      </c>
      <c r="L11" s="44" t="s">
        <v>70</v>
      </c>
      <c r="M11" s="26" t="s">
        <v>295</v>
      </c>
      <c r="N11" s="26" t="s">
        <v>150</v>
      </c>
      <c r="O11" s="26" t="s">
        <v>102</v>
      </c>
      <c r="P11" s="26" t="s">
        <v>101</v>
      </c>
      <c r="Q11" s="26" t="s">
        <v>83</v>
      </c>
      <c r="R11" s="44" t="s">
        <v>70</v>
      </c>
      <c r="S11" s="44" t="s">
        <v>70</v>
      </c>
      <c r="T11" s="26" t="s">
        <v>153</v>
      </c>
      <c r="U11" s="78">
        <v>0.77986111111111101</v>
      </c>
      <c r="V11" s="26" t="s">
        <v>511</v>
      </c>
      <c r="W11" s="26" t="s">
        <v>101</v>
      </c>
      <c r="X11" s="26" t="s">
        <v>92</v>
      </c>
      <c r="Y11" s="44" t="s">
        <v>70</v>
      </c>
      <c r="Z11" s="44" t="s">
        <v>70</v>
      </c>
      <c r="AA11" s="78">
        <v>0.79722222222222217</v>
      </c>
      <c r="AB11" s="26" t="s">
        <v>123</v>
      </c>
      <c r="AC11" s="26" t="s">
        <v>289</v>
      </c>
      <c r="AD11" s="26" t="s">
        <v>103</v>
      </c>
      <c r="AE11" s="26" t="s">
        <v>89</v>
      </c>
      <c r="AF11" s="44" t="s">
        <v>70</v>
      </c>
      <c r="AG11" s="44" t="s">
        <v>70</v>
      </c>
      <c r="AH11" s="26" t="s">
        <v>128</v>
      </c>
      <c r="AI11" s="194"/>
      <c r="AJ11" s="106"/>
      <c r="AK11" s="194"/>
      <c r="AL11" s="200"/>
      <c r="AM11" s="111"/>
      <c r="AN11" s="181"/>
    </row>
    <row r="12" spans="1:67" ht="21.75" customHeight="1" thickTop="1" thickBot="1" x14ac:dyDescent="0.45">
      <c r="A12" s="157"/>
      <c r="B12" s="186" t="s">
        <v>56</v>
      </c>
      <c r="C12" s="120" t="s">
        <v>177</v>
      </c>
      <c r="D12" s="25" t="s">
        <v>51</v>
      </c>
      <c r="E12" s="44"/>
      <c r="F12" s="26" t="s">
        <v>193</v>
      </c>
      <c r="G12" s="68" t="s">
        <v>70</v>
      </c>
      <c r="H12" s="26" t="s">
        <v>207</v>
      </c>
      <c r="I12" s="26" t="s">
        <v>440</v>
      </c>
      <c r="J12" s="68" t="s">
        <v>70</v>
      </c>
      <c r="K12" s="44" t="s">
        <v>70</v>
      </c>
      <c r="L12" s="44" t="s">
        <v>70</v>
      </c>
      <c r="M12" s="26" t="s">
        <v>106</v>
      </c>
      <c r="N12" s="26" t="s">
        <v>369</v>
      </c>
      <c r="O12" s="26" t="s">
        <v>345</v>
      </c>
      <c r="P12" s="26" t="s">
        <v>375</v>
      </c>
      <c r="Q12" s="26" t="s">
        <v>215</v>
      </c>
      <c r="R12" s="44" t="s">
        <v>70</v>
      </c>
      <c r="S12" s="44" t="s">
        <v>70</v>
      </c>
      <c r="T12" s="26" t="s">
        <v>193</v>
      </c>
      <c r="U12" s="26" t="s">
        <v>193</v>
      </c>
      <c r="V12" s="26" t="s">
        <v>193</v>
      </c>
      <c r="W12" s="26" t="s">
        <v>215</v>
      </c>
      <c r="X12" s="26" t="s">
        <v>369</v>
      </c>
      <c r="Y12" s="44" t="s">
        <v>70</v>
      </c>
      <c r="Z12" s="44" t="s">
        <v>70</v>
      </c>
      <c r="AA12" s="26" t="s">
        <v>77</v>
      </c>
      <c r="AB12" s="126" t="s">
        <v>176</v>
      </c>
      <c r="AC12" s="26" t="s">
        <v>139</v>
      </c>
      <c r="AD12" s="26" t="s">
        <v>346</v>
      </c>
      <c r="AE12" s="26" t="s">
        <v>124</v>
      </c>
      <c r="AF12" s="44" t="s">
        <v>70</v>
      </c>
      <c r="AG12" s="44" t="s">
        <v>70</v>
      </c>
      <c r="AH12" s="26" t="s">
        <v>206</v>
      </c>
      <c r="AI12" s="194" t="s">
        <v>523</v>
      </c>
      <c r="AJ12" s="106"/>
      <c r="AK12" s="194"/>
      <c r="AL12" s="200">
        <v>1</v>
      </c>
      <c r="AM12" s="111">
        <f>(F12+H12+I12+M12+N12+O12+P12+Q12+T12+U12+V12+W12+X12+AA12+AC12+AD12+AE12+AH12)/18</f>
        <v>0.34413580246913578</v>
      </c>
      <c r="AN12" s="181">
        <f>(F13+H13+I13+M13+N13+O13+P13+Q13+T13+U13+W13+X13+AA13+AC13+AD13+AE13+AH13)/17</f>
        <v>0.78043300653594772</v>
      </c>
    </row>
    <row r="13" spans="1:67" ht="21.75" customHeight="1" thickTop="1" thickBot="1" x14ac:dyDescent="0.45">
      <c r="A13" s="158"/>
      <c r="B13" s="186"/>
      <c r="C13" s="120"/>
      <c r="D13" s="25" t="s">
        <v>52</v>
      </c>
      <c r="E13" s="44"/>
      <c r="F13" s="26" t="s">
        <v>170</v>
      </c>
      <c r="G13" s="68" t="s">
        <v>70</v>
      </c>
      <c r="H13" s="26" t="s">
        <v>80</v>
      </c>
      <c r="I13" s="26" t="s">
        <v>85</v>
      </c>
      <c r="J13" s="68" t="s">
        <v>70</v>
      </c>
      <c r="K13" s="44" t="s">
        <v>70</v>
      </c>
      <c r="L13" s="44" t="s">
        <v>70</v>
      </c>
      <c r="M13" s="26" t="s">
        <v>81</v>
      </c>
      <c r="N13" s="26" t="s">
        <v>102</v>
      </c>
      <c r="O13" s="26" t="s">
        <v>147</v>
      </c>
      <c r="P13" s="26" t="s">
        <v>89</v>
      </c>
      <c r="Q13" s="26" t="s">
        <v>83</v>
      </c>
      <c r="R13" s="44" t="s">
        <v>70</v>
      </c>
      <c r="S13" s="44" t="s">
        <v>70</v>
      </c>
      <c r="T13" s="26" t="s">
        <v>86</v>
      </c>
      <c r="U13" s="26" t="s">
        <v>83</v>
      </c>
      <c r="V13" s="26" t="s">
        <v>364</v>
      </c>
      <c r="W13" s="26" t="s">
        <v>146</v>
      </c>
      <c r="X13" s="26" t="s">
        <v>83</v>
      </c>
      <c r="Y13" s="44" t="s">
        <v>70</v>
      </c>
      <c r="Z13" s="44" t="s">
        <v>70</v>
      </c>
      <c r="AA13" s="26" t="s">
        <v>141</v>
      </c>
      <c r="AB13" s="126"/>
      <c r="AC13" s="26" t="s">
        <v>89</v>
      </c>
      <c r="AD13" s="26" t="s">
        <v>83</v>
      </c>
      <c r="AE13" s="26" t="s">
        <v>89</v>
      </c>
      <c r="AF13" s="44" t="s">
        <v>70</v>
      </c>
      <c r="AG13" s="44" t="s">
        <v>70</v>
      </c>
      <c r="AH13" s="26" t="s">
        <v>141</v>
      </c>
      <c r="AI13" s="194"/>
      <c r="AJ13" s="106"/>
      <c r="AK13" s="194"/>
      <c r="AL13" s="200"/>
      <c r="AM13" s="111"/>
      <c r="AN13" s="181"/>
    </row>
    <row r="14" spans="1:67" ht="21.75" customHeight="1" x14ac:dyDescent="0.4">
      <c r="A14" s="30"/>
      <c r="B14" s="186" t="s">
        <v>56</v>
      </c>
      <c r="C14" s="120" t="s">
        <v>57</v>
      </c>
      <c r="D14" s="25" t="s">
        <v>51</v>
      </c>
      <c r="E14" s="44"/>
      <c r="F14" s="26" t="s">
        <v>79</v>
      </c>
      <c r="G14" s="68" t="s">
        <v>70</v>
      </c>
      <c r="H14" s="26" t="s">
        <v>79</v>
      </c>
      <c r="I14" s="26" t="s">
        <v>135</v>
      </c>
      <c r="J14" s="68" t="s">
        <v>70</v>
      </c>
      <c r="K14" s="44" t="s">
        <v>70</v>
      </c>
      <c r="L14" s="44" t="s">
        <v>70</v>
      </c>
      <c r="M14" s="26" t="s">
        <v>79</v>
      </c>
      <c r="N14" s="26" t="s">
        <v>121</v>
      </c>
      <c r="O14" s="26" t="s">
        <v>121</v>
      </c>
      <c r="P14" s="26" t="s">
        <v>135</v>
      </c>
      <c r="Q14" s="26" t="s">
        <v>121</v>
      </c>
      <c r="R14" s="44" t="s">
        <v>70</v>
      </c>
      <c r="S14" s="44" t="s">
        <v>70</v>
      </c>
      <c r="T14" s="26" t="s">
        <v>121</v>
      </c>
      <c r="U14" s="26" t="s">
        <v>149</v>
      </c>
      <c r="V14" s="26" t="s">
        <v>121</v>
      </c>
      <c r="W14" s="26" t="s">
        <v>71</v>
      </c>
      <c r="X14" s="26" t="s">
        <v>71</v>
      </c>
      <c r="Y14" s="44" t="s">
        <v>70</v>
      </c>
      <c r="Z14" s="44" t="s">
        <v>70</v>
      </c>
      <c r="AA14" s="26" t="s">
        <v>149</v>
      </c>
      <c r="AB14" s="26" t="s">
        <v>71</v>
      </c>
      <c r="AC14" s="126" t="s">
        <v>176</v>
      </c>
      <c r="AD14" s="26" t="s">
        <v>135</v>
      </c>
      <c r="AE14" s="26" t="s">
        <v>135</v>
      </c>
      <c r="AF14" s="44" t="s">
        <v>70</v>
      </c>
      <c r="AG14" s="44" t="s">
        <v>70</v>
      </c>
      <c r="AH14" s="26" t="s">
        <v>79</v>
      </c>
      <c r="AI14" s="194"/>
      <c r="AJ14" s="106"/>
      <c r="AK14" s="194"/>
      <c r="AL14" s="200">
        <v>1</v>
      </c>
      <c r="AM14" s="111">
        <f>(F14+H14+I14+M14+N14+O14+P14+Q14+T14+U14+V14+W14+X14+AA14+AB14+AD14+AE14+AH14)/18</f>
        <v>0.37017746913580241</v>
      </c>
      <c r="AN14" s="181">
        <f>(F15+H15+I15+M15+N15+O15+P15+Q15+T15+U15+W15+X15+AA15+AB15+AD15+AE15+AH15)/17</f>
        <v>0.78169934640522876</v>
      </c>
    </row>
    <row r="15" spans="1:67" ht="21.75" customHeight="1" x14ac:dyDescent="0.4">
      <c r="A15" s="30"/>
      <c r="B15" s="186"/>
      <c r="C15" s="120"/>
      <c r="D15" s="25" t="s">
        <v>52</v>
      </c>
      <c r="E15" s="44"/>
      <c r="F15" s="26" t="s">
        <v>170</v>
      </c>
      <c r="G15" s="68" t="s">
        <v>70</v>
      </c>
      <c r="H15" s="26" t="s">
        <v>88</v>
      </c>
      <c r="I15" s="26" t="s">
        <v>88</v>
      </c>
      <c r="J15" s="68" t="s">
        <v>70</v>
      </c>
      <c r="K15" s="44" t="s">
        <v>70</v>
      </c>
      <c r="L15" s="44" t="s">
        <v>70</v>
      </c>
      <c r="M15" s="26" t="s">
        <v>81</v>
      </c>
      <c r="N15" s="26" t="s">
        <v>102</v>
      </c>
      <c r="O15" s="26" t="s">
        <v>147</v>
      </c>
      <c r="P15" s="26" t="s">
        <v>89</v>
      </c>
      <c r="Q15" s="26" t="s">
        <v>83</v>
      </c>
      <c r="R15" s="44" t="s">
        <v>70</v>
      </c>
      <c r="S15" s="44" t="s">
        <v>70</v>
      </c>
      <c r="T15" s="26" t="s">
        <v>86</v>
      </c>
      <c r="U15" s="26" t="s">
        <v>83</v>
      </c>
      <c r="V15" s="26" t="s">
        <v>364</v>
      </c>
      <c r="W15" s="26" t="s">
        <v>146</v>
      </c>
      <c r="X15" s="26" t="s">
        <v>91</v>
      </c>
      <c r="Y15" s="44" t="s">
        <v>70</v>
      </c>
      <c r="Z15" s="44" t="s">
        <v>70</v>
      </c>
      <c r="AA15" s="26" t="s">
        <v>141</v>
      </c>
      <c r="AB15" s="26" t="s">
        <v>343</v>
      </c>
      <c r="AC15" s="126"/>
      <c r="AD15" s="26" t="s">
        <v>83</v>
      </c>
      <c r="AE15" s="26" t="s">
        <v>89</v>
      </c>
      <c r="AF15" s="44" t="s">
        <v>70</v>
      </c>
      <c r="AG15" s="44" t="s">
        <v>70</v>
      </c>
      <c r="AH15" s="26" t="s">
        <v>141</v>
      </c>
      <c r="AI15" s="194"/>
      <c r="AJ15" s="106"/>
      <c r="AK15" s="194"/>
      <c r="AL15" s="200"/>
      <c r="AM15" s="111"/>
      <c r="AN15" s="181"/>
    </row>
    <row r="16" spans="1:67" ht="21.75" customHeight="1" x14ac:dyDescent="0.4">
      <c r="A16" s="30"/>
      <c r="B16" s="186" t="s">
        <v>56</v>
      </c>
      <c r="C16" s="120" t="s">
        <v>426</v>
      </c>
      <c r="D16" s="25" t="s">
        <v>51</v>
      </c>
      <c r="E16" s="44"/>
      <c r="F16" s="26" t="s">
        <v>122</v>
      </c>
      <c r="G16" s="68" t="s">
        <v>70</v>
      </c>
      <c r="H16" s="26" t="s">
        <v>119</v>
      </c>
      <c r="I16" s="26" t="s">
        <v>160</v>
      </c>
      <c r="J16" s="68" t="s">
        <v>70</v>
      </c>
      <c r="K16" s="44" t="s">
        <v>70</v>
      </c>
      <c r="L16" s="44" t="s">
        <v>70</v>
      </c>
      <c r="M16" s="26" t="s">
        <v>76</v>
      </c>
      <c r="N16" s="126" t="s">
        <v>176</v>
      </c>
      <c r="O16" s="26" t="s">
        <v>135</v>
      </c>
      <c r="P16" s="26" t="s">
        <v>75</v>
      </c>
      <c r="Q16" s="26" t="s">
        <v>135</v>
      </c>
      <c r="R16" s="44" t="s">
        <v>70</v>
      </c>
      <c r="S16" s="44" t="s">
        <v>70</v>
      </c>
      <c r="T16" s="26" t="s">
        <v>71</v>
      </c>
      <c r="U16" s="26" t="s">
        <v>122</v>
      </c>
      <c r="V16" s="26" t="s">
        <v>69</v>
      </c>
      <c r="W16" s="26" t="s">
        <v>120</v>
      </c>
      <c r="X16" s="26" t="s">
        <v>120</v>
      </c>
      <c r="Y16" s="44" t="s">
        <v>70</v>
      </c>
      <c r="Z16" s="44" t="s">
        <v>70</v>
      </c>
      <c r="AA16" s="26" t="s">
        <v>79</v>
      </c>
      <c r="AB16" s="26" t="s">
        <v>71</v>
      </c>
      <c r="AC16" s="26" t="s">
        <v>156</v>
      </c>
      <c r="AD16" s="26" t="s">
        <v>152</v>
      </c>
      <c r="AE16" s="26" t="s">
        <v>120</v>
      </c>
      <c r="AF16" s="44" t="s">
        <v>70</v>
      </c>
      <c r="AG16" s="44" t="s">
        <v>70</v>
      </c>
      <c r="AH16" s="26" t="s">
        <v>160</v>
      </c>
      <c r="AI16" s="194"/>
      <c r="AJ16" s="106"/>
      <c r="AK16" s="194"/>
      <c r="AL16" s="200">
        <v>1</v>
      </c>
      <c r="AM16" s="111">
        <f>(F16+H16+I16+M16+O16+P16+Q16+T16+U16+V16+W16+X16+AA16+AB16+AC16+AD16+AE16+AH16)/18</f>
        <v>0.3689043209876543</v>
      </c>
      <c r="AN16" s="181">
        <f>(F17+H17+I17+M17+O17+P17+Q17+T17+U17+W17+X17+AA17+AB17+AC17+AD17+AE17+AH17)/17</f>
        <v>0.77687908496732017</v>
      </c>
    </row>
    <row r="17" spans="1:40" ht="21.75" customHeight="1" thickBot="1" x14ac:dyDescent="0.45">
      <c r="A17" s="30"/>
      <c r="B17" s="187"/>
      <c r="C17" s="121"/>
      <c r="D17" s="31" t="s">
        <v>52</v>
      </c>
      <c r="E17" s="45"/>
      <c r="F17" s="32" t="s">
        <v>154</v>
      </c>
      <c r="G17" s="69" t="s">
        <v>70</v>
      </c>
      <c r="H17" s="32" t="s">
        <v>80</v>
      </c>
      <c r="I17" s="32" t="s">
        <v>88</v>
      </c>
      <c r="J17" s="69" t="s">
        <v>70</v>
      </c>
      <c r="K17" s="45" t="s">
        <v>70</v>
      </c>
      <c r="L17" s="45" t="s">
        <v>70</v>
      </c>
      <c r="M17" s="32" t="s">
        <v>166</v>
      </c>
      <c r="N17" s="182"/>
      <c r="O17" s="32" t="s">
        <v>88</v>
      </c>
      <c r="P17" s="32" t="s">
        <v>88</v>
      </c>
      <c r="Q17" s="32" t="s">
        <v>88</v>
      </c>
      <c r="R17" s="45" t="s">
        <v>70</v>
      </c>
      <c r="S17" s="45" t="s">
        <v>70</v>
      </c>
      <c r="T17" s="32" t="s">
        <v>82</v>
      </c>
      <c r="U17" s="32" t="s">
        <v>88</v>
      </c>
      <c r="V17" s="32" t="s">
        <v>377</v>
      </c>
      <c r="W17" s="32" t="s">
        <v>88</v>
      </c>
      <c r="X17" s="32" t="s">
        <v>312</v>
      </c>
      <c r="Y17" s="45" t="s">
        <v>70</v>
      </c>
      <c r="Z17" s="45" t="s">
        <v>70</v>
      </c>
      <c r="AA17" s="32" t="s">
        <v>90</v>
      </c>
      <c r="AB17" s="32" t="s">
        <v>80</v>
      </c>
      <c r="AC17" s="32" t="s">
        <v>88</v>
      </c>
      <c r="AD17" s="32" t="s">
        <v>88</v>
      </c>
      <c r="AE17" s="32" t="s">
        <v>88</v>
      </c>
      <c r="AF17" s="45" t="s">
        <v>70</v>
      </c>
      <c r="AG17" s="45" t="s">
        <v>70</v>
      </c>
      <c r="AH17" s="32" t="s">
        <v>165</v>
      </c>
      <c r="AI17" s="196"/>
      <c r="AJ17" s="167"/>
      <c r="AK17" s="196"/>
      <c r="AL17" s="201"/>
      <c r="AM17" s="188"/>
      <c r="AN17" s="189"/>
    </row>
    <row r="18" spans="1:40" ht="21.75" customHeight="1" x14ac:dyDescent="0.4">
      <c r="A18" s="115" t="s">
        <v>58</v>
      </c>
      <c r="B18" s="190" t="s">
        <v>59</v>
      </c>
      <c r="C18" s="159" t="s">
        <v>60</v>
      </c>
      <c r="D18" s="33" t="s">
        <v>51</v>
      </c>
      <c r="E18" s="43"/>
      <c r="F18" s="34" t="s">
        <v>319</v>
      </c>
      <c r="G18" s="67" t="s">
        <v>70</v>
      </c>
      <c r="H18" s="34" t="s">
        <v>213</v>
      </c>
      <c r="I18" s="34" t="s">
        <v>445</v>
      </c>
      <c r="J18" s="67" t="s">
        <v>70</v>
      </c>
      <c r="K18" s="43" t="s">
        <v>70</v>
      </c>
      <c r="L18" s="43" t="s">
        <v>70</v>
      </c>
      <c r="M18" s="34" t="s">
        <v>383</v>
      </c>
      <c r="N18" s="34" t="s">
        <v>304</v>
      </c>
      <c r="O18" s="34" t="s">
        <v>503</v>
      </c>
      <c r="P18" s="34" t="s">
        <v>138</v>
      </c>
      <c r="Q18" s="34" t="s">
        <v>446</v>
      </c>
      <c r="R18" s="43" t="s">
        <v>70</v>
      </c>
      <c r="S18" s="43" t="s">
        <v>70</v>
      </c>
      <c r="T18" s="34" t="s">
        <v>223</v>
      </c>
      <c r="U18" s="34" t="s">
        <v>231</v>
      </c>
      <c r="V18" s="34" t="s">
        <v>462</v>
      </c>
      <c r="W18" s="34" t="s">
        <v>125</v>
      </c>
      <c r="X18" s="34" t="s">
        <v>231</v>
      </c>
      <c r="Y18" s="43" t="s">
        <v>70</v>
      </c>
      <c r="Z18" s="43" t="s">
        <v>70</v>
      </c>
      <c r="AA18" s="34" t="s">
        <v>504</v>
      </c>
      <c r="AB18" s="34" t="s">
        <v>371</v>
      </c>
      <c r="AC18" s="34" t="s">
        <v>462</v>
      </c>
      <c r="AD18" s="34" t="s">
        <v>346</v>
      </c>
      <c r="AE18" s="34" t="s">
        <v>304</v>
      </c>
      <c r="AF18" s="43" t="s">
        <v>70</v>
      </c>
      <c r="AG18" s="43" t="s">
        <v>70</v>
      </c>
      <c r="AH18" s="34" t="s">
        <v>505</v>
      </c>
      <c r="AI18" s="160" t="s">
        <v>525</v>
      </c>
      <c r="AJ18" s="166"/>
      <c r="AK18" s="108"/>
      <c r="AL18" s="110"/>
      <c r="AM18" s="111">
        <f>(F18+H18+I18+M18+N18+O18+P18+Q18+T18+U18+V18+W18+X18+AA18+AB18+AC18+AD18+AE18+AH18)/19</f>
        <v>0.31637426900584792</v>
      </c>
      <c r="AN18" s="181">
        <f>(F19+H19+I19+M19+N19+O19+P19+Q19+T19+U19+W19+X19+AA19+AB19+AC19+AD19+AE19+AH19)/18</f>
        <v>0.79332561728395057</v>
      </c>
    </row>
    <row r="19" spans="1:40" ht="21.75" customHeight="1" x14ac:dyDescent="0.4">
      <c r="A19" s="116"/>
      <c r="B19" s="186"/>
      <c r="C19" s="120"/>
      <c r="D19" s="25" t="s">
        <v>52</v>
      </c>
      <c r="E19" s="44"/>
      <c r="F19" s="26" t="s">
        <v>191</v>
      </c>
      <c r="G19" s="68" t="s">
        <v>70</v>
      </c>
      <c r="H19" s="26" t="s">
        <v>141</v>
      </c>
      <c r="I19" s="26" t="s">
        <v>167</v>
      </c>
      <c r="J19" s="68" t="s">
        <v>70</v>
      </c>
      <c r="K19" s="44" t="s">
        <v>70</v>
      </c>
      <c r="L19" s="44" t="s">
        <v>70</v>
      </c>
      <c r="M19" s="26" t="s">
        <v>186</v>
      </c>
      <c r="N19" s="26" t="s">
        <v>153</v>
      </c>
      <c r="O19" s="26" t="s">
        <v>151</v>
      </c>
      <c r="P19" s="26" t="s">
        <v>86</v>
      </c>
      <c r="Q19" s="26" t="s">
        <v>98</v>
      </c>
      <c r="R19" s="44" t="s">
        <v>70</v>
      </c>
      <c r="S19" s="44" t="s">
        <v>70</v>
      </c>
      <c r="T19" s="26" t="s">
        <v>154</v>
      </c>
      <c r="U19" s="26" t="s">
        <v>397</v>
      </c>
      <c r="V19" s="26" t="s">
        <v>506</v>
      </c>
      <c r="W19" s="26" t="s">
        <v>86</v>
      </c>
      <c r="X19" s="26" t="s">
        <v>170</v>
      </c>
      <c r="Y19" s="44" t="s">
        <v>70</v>
      </c>
      <c r="Z19" s="44" t="s">
        <v>70</v>
      </c>
      <c r="AA19" s="26" t="s">
        <v>117</v>
      </c>
      <c r="AB19" s="26" t="s">
        <v>86</v>
      </c>
      <c r="AC19" s="26" t="s">
        <v>116</v>
      </c>
      <c r="AD19" s="26" t="s">
        <v>326</v>
      </c>
      <c r="AE19" s="26" t="s">
        <v>308</v>
      </c>
      <c r="AF19" s="44" t="s">
        <v>70</v>
      </c>
      <c r="AG19" s="44" t="s">
        <v>70</v>
      </c>
      <c r="AH19" s="26" t="s">
        <v>116</v>
      </c>
      <c r="AI19" s="127"/>
      <c r="AJ19" s="106"/>
      <c r="AK19" s="194"/>
      <c r="AL19" s="195"/>
      <c r="AM19" s="111"/>
      <c r="AN19" s="181"/>
    </row>
    <row r="20" spans="1:40" ht="21.75" customHeight="1" x14ac:dyDescent="0.4">
      <c r="A20" s="116"/>
      <c r="B20" s="186" t="s">
        <v>53</v>
      </c>
      <c r="C20" s="120" t="s">
        <v>61</v>
      </c>
      <c r="D20" s="25" t="s">
        <v>51</v>
      </c>
      <c r="E20" s="44"/>
      <c r="F20" s="126" t="s">
        <v>521</v>
      </c>
      <c r="G20" s="68" t="s">
        <v>70</v>
      </c>
      <c r="H20" s="26" t="s">
        <v>311</v>
      </c>
      <c r="I20" s="26" t="s">
        <v>96</v>
      </c>
      <c r="J20" s="68" t="s">
        <v>70</v>
      </c>
      <c r="K20" s="44" t="s">
        <v>70</v>
      </c>
      <c r="L20" s="44" t="s">
        <v>70</v>
      </c>
      <c r="M20" s="26" t="s">
        <v>140</v>
      </c>
      <c r="N20" s="26" t="s">
        <v>137</v>
      </c>
      <c r="O20" s="126" t="s">
        <v>176</v>
      </c>
      <c r="P20" s="26" t="s">
        <v>432</v>
      </c>
      <c r="Q20" s="126" t="s">
        <v>176</v>
      </c>
      <c r="R20" s="44" t="s">
        <v>70</v>
      </c>
      <c r="S20" s="44" t="s">
        <v>70</v>
      </c>
      <c r="T20" s="26" t="s">
        <v>179</v>
      </c>
      <c r="U20" s="26" t="s">
        <v>345</v>
      </c>
      <c r="V20" s="26" t="s">
        <v>311</v>
      </c>
      <c r="W20" s="26" t="s">
        <v>77</v>
      </c>
      <c r="X20" s="26" t="s">
        <v>77</v>
      </c>
      <c r="Y20" s="44" t="s">
        <v>70</v>
      </c>
      <c r="Z20" s="44" t="s">
        <v>70</v>
      </c>
      <c r="AA20" s="26" t="s">
        <v>95</v>
      </c>
      <c r="AB20" s="26" t="s">
        <v>301</v>
      </c>
      <c r="AC20" s="26" t="s">
        <v>311</v>
      </c>
      <c r="AD20" s="26" t="s">
        <v>110</v>
      </c>
      <c r="AE20" s="26" t="s">
        <v>207</v>
      </c>
      <c r="AF20" s="44" t="s">
        <v>70</v>
      </c>
      <c r="AG20" s="44" t="s">
        <v>70</v>
      </c>
      <c r="AH20" s="126" t="s">
        <v>176</v>
      </c>
      <c r="AI20" s="127"/>
      <c r="AJ20" s="106"/>
      <c r="AK20" s="194"/>
      <c r="AL20" s="195">
        <v>3</v>
      </c>
      <c r="AM20" s="111">
        <f>(H20+I20+M20+N20+P20+T20+U20+V20+W20+X20+AA20+AB20+AC20+AD20+AE20)/15</f>
        <v>0.349212962962963</v>
      </c>
      <c r="AN20" s="181">
        <f>(H21+I21+M21+N21+P21+T21+U21+W21+X21+AA21+AB21+AC21+AD21+AE21)/14</f>
        <v>0.77862103174603181</v>
      </c>
    </row>
    <row r="21" spans="1:40" ht="21.75" customHeight="1" x14ac:dyDescent="0.4">
      <c r="A21" s="116"/>
      <c r="B21" s="186"/>
      <c r="C21" s="120"/>
      <c r="D21" s="25" t="s">
        <v>52</v>
      </c>
      <c r="E21" s="44"/>
      <c r="F21" s="126"/>
      <c r="G21" s="68" t="s">
        <v>70</v>
      </c>
      <c r="H21" s="26" t="s">
        <v>150</v>
      </c>
      <c r="I21" s="26" t="s">
        <v>401</v>
      </c>
      <c r="J21" s="68" t="s">
        <v>70</v>
      </c>
      <c r="K21" s="44" t="s">
        <v>70</v>
      </c>
      <c r="L21" s="44" t="s">
        <v>70</v>
      </c>
      <c r="M21" s="26" t="s">
        <v>102</v>
      </c>
      <c r="N21" s="26" t="s">
        <v>85</v>
      </c>
      <c r="O21" s="126"/>
      <c r="P21" s="26" t="s">
        <v>84</v>
      </c>
      <c r="Q21" s="126"/>
      <c r="R21" s="44" t="s">
        <v>70</v>
      </c>
      <c r="S21" s="44" t="s">
        <v>70</v>
      </c>
      <c r="T21" s="26" t="s">
        <v>150</v>
      </c>
      <c r="U21" s="26" t="s">
        <v>88</v>
      </c>
      <c r="V21" s="26" t="s">
        <v>507</v>
      </c>
      <c r="W21" s="26" t="s">
        <v>88</v>
      </c>
      <c r="X21" s="26" t="s">
        <v>169</v>
      </c>
      <c r="Y21" s="44" t="s">
        <v>70</v>
      </c>
      <c r="Z21" s="44" t="s">
        <v>70</v>
      </c>
      <c r="AA21" s="26" t="s">
        <v>101</v>
      </c>
      <c r="AB21" s="26" t="s">
        <v>102</v>
      </c>
      <c r="AC21" s="26" t="s">
        <v>312</v>
      </c>
      <c r="AD21" s="26" t="s">
        <v>88</v>
      </c>
      <c r="AE21" s="26" t="s">
        <v>117</v>
      </c>
      <c r="AF21" s="44" t="s">
        <v>70</v>
      </c>
      <c r="AG21" s="44" t="s">
        <v>70</v>
      </c>
      <c r="AH21" s="126"/>
      <c r="AI21" s="127"/>
      <c r="AJ21" s="106"/>
      <c r="AK21" s="194"/>
      <c r="AL21" s="195"/>
      <c r="AM21" s="111"/>
      <c r="AN21" s="181"/>
    </row>
    <row r="22" spans="1:40" ht="21.75" customHeight="1" x14ac:dyDescent="0.4">
      <c r="A22" s="116"/>
      <c r="B22" s="186" t="s">
        <v>53</v>
      </c>
      <c r="C22" s="120" t="s">
        <v>518</v>
      </c>
      <c r="D22" s="25" t="s">
        <v>51</v>
      </c>
      <c r="E22" s="44"/>
      <c r="F22" s="26" t="s">
        <v>73</v>
      </c>
      <c r="G22" s="68" t="s">
        <v>70</v>
      </c>
      <c r="H22" s="26" t="s">
        <v>73</v>
      </c>
      <c r="I22" s="26" t="s">
        <v>72</v>
      </c>
      <c r="J22" s="68" t="s">
        <v>70</v>
      </c>
      <c r="K22" s="44" t="s">
        <v>70</v>
      </c>
      <c r="L22" s="44" t="s">
        <v>70</v>
      </c>
      <c r="M22" s="26" t="s">
        <v>73</v>
      </c>
      <c r="N22" s="26" t="s">
        <v>73</v>
      </c>
      <c r="O22" s="26" t="s">
        <v>78</v>
      </c>
      <c r="P22" s="26" t="s">
        <v>78</v>
      </c>
      <c r="Q22" s="26" t="s">
        <v>97</v>
      </c>
      <c r="R22" s="44" t="s">
        <v>70</v>
      </c>
      <c r="S22" s="44" t="s">
        <v>70</v>
      </c>
      <c r="T22" s="26" t="s">
        <v>75</v>
      </c>
      <c r="U22" s="26" t="s">
        <v>94</v>
      </c>
      <c r="V22" s="26" t="s">
        <v>99</v>
      </c>
      <c r="W22" s="26" t="s">
        <v>99</v>
      </c>
      <c r="X22" s="26" t="s">
        <v>99</v>
      </c>
      <c r="Y22" s="44" t="s">
        <v>70</v>
      </c>
      <c r="Z22" s="44" t="s">
        <v>70</v>
      </c>
      <c r="AA22" s="26" t="s">
        <v>73</v>
      </c>
      <c r="AB22" s="26" t="s">
        <v>76</v>
      </c>
      <c r="AC22" s="26" t="s">
        <v>72</v>
      </c>
      <c r="AD22" s="26" t="s">
        <v>78</v>
      </c>
      <c r="AE22" s="26" t="s">
        <v>72</v>
      </c>
      <c r="AF22" s="44" t="s">
        <v>70</v>
      </c>
      <c r="AG22" s="44" t="s">
        <v>70</v>
      </c>
      <c r="AH22" s="26" t="s">
        <v>78</v>
      </c>
      <c r="AI22" s="127"/>
      <c r="AJ22" s="106"/>
      <c r="AK22" s="194"/>
      <c r="AL22" s="195"/>
      <c r="AM22" s="111">
        <f>(F22+H22+I22+M22+N22+O22+P22+Q22+T22+U22+V22+W22+X22+AA22+AB22+AC22+AD22+AE22+AH22)/19</f>
        <v>0.36092836257309946</v>
      </c>
      <c r="AN22" s="181">
        <f>(F23+H23+I23+M23+N23+O23+P23+Q23+T23+U23+W23+X23+AA23+AB23+AC23+AD23+AE23+AH23)/18</f>
        <v>0.77700617283950624</v>
      </c>
    </row>
    <row r="23" spans="1:40" ht="21.75" customHeight="1" x14ac:dyDescent="0.4">
      <c r="A23" s="116"/>
      <c r="B23" s="186"/>
      <c r="C23" s="120"/>
      <c r="D23" s="25" t="s">
        <v>52</v>
      </c>
      <c r="E23" s="44"/>
      <c r="F23" s="26" t="s">
        <v>101</v>
      </c>
      <c r="G23" s="68" t="s">
        <v>70</v>
      </c>
      <c r="H23" s="26" t="s">
        <v>90</v>
      </c>
      <c r="I23" s="26" t="s">
        <v>103</v>
      </c>
      <c r="J23" s="68" t="s">
        <v>70</v>
      </c>
      <c r="K23" s="44" t="s">
        <v>70</v>
      </c>
      <c r="L23" s="44" t="s">
        <v>70</v>
      </c>
      <c r="M23" s="26" t="s">
        <v>101</v>
      </c>
      <c r="N23" s="26" t="s">
        <v>84</v>
      </c>
      <c r="O23" s="26" t="s">
        <v>90</v>
      </c>
      <c r="P23" s="26" t="s">
        <v>83</v>
      </c>
      <c r="Q23" s="26" t="s">
        <v>101</v>
      </c>
      <c r="R23" s="44" t="s">
        <v>70</v>
      </c>
      <c r="S23" s="44" t="s">
        <v>70</v>
      </c>
      <c r="T23" s="26" t="s">
        <v>91</v>
      </c>
      <c r="U23" s="26" t="s">
        <v>103</v>
      </c>
      <c r="V23" s="26" t="s">
        <v>517</v>
      </c>
      <c r="W23" s="26" t="s">
        <v>123</v>
      </c>
      <c r="X23" s="26" t="s">
        <v>103</v>
      </c>
      <c r="Y23" s="44" t="s">
        <v>70</v>
      </c>
      <c r="Z23" s="44" t="s">
        <v>70</v>
      </c>
      <c r="AA23" s="26" t="s">
        <v>87</v>
      </c>
      <c r="AB23" s="26" t="s">
        <v>89</v>
      </c>
      <c r="AC23" s="26" t="s">
        <v>150</v>
      </c>
      <c r="AD23" s="26" t="s">
        <v>83</v>
      </c>
      <c r="AE23" s="26" t="s">
        <v>83</v>
      </c>
      <c r="AF23" s="44" t="s">
        <v>70</v>
      </c>
      <c r="AG23" s="44" t="s">
        <v>70</v>
      </c>
      <c r="AH23" s="26" t="s">
        <v>83</v>
      </c>
      <c r="AI23" s="127"/>
      <c r="AJ23" s="106"/>
      <c r="AK23" s="194"/>
      <c r="AL23" s="195"/>
      <c r="AM23" s="111"/>
      <c r="AN23" s="181"/>
    </row>
    <row r="24" spans="1:40" ht="21.75" customHeight="1" x14ac:dyDescent="0.4">
      <c r="A24" s="116"/>
      <c r="B24" s="186" t="s">
        <v>53</v>
      </c>
      <c r="C24" s="120" t="s">
        <v>519</v>
      </c>
      <c r="D24" s="25" t="s">
        <v>51</v>
      </c>
      <c r="E24" s="219"/>
      <c r="F24" s="220"/>
      <c r="G24" s="220"/>
      <c r="H24" s="220"/>
      <c r="I24" s="220"/>
      <c r="J24" s="220"/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1"/>
      <c r="AH24" s="26" t="s">
        <v>69</v>
      </c>
      <c r="AI24" s="112"/>
      <c r="AJ24" s="106"/>
      <c r="AK24" s="194"/>
      <c r="AL24" s="195"/>
      <c r="AM24" s="111">
        <f>(AH24)/1</f>
        <v>0.36527777777777776</v>
      </c>
      <c r="AN24" s="181">
        <f>(AH25)/1</f>
        <v>0.77222222222222225</v>
      </c>
    </row>
    <row r="25" spans="1:40" ht="21.75" customHeight="1" x14ac:dyDescent="0.4">
      <c r="A25" s="116"/>
      <c r="B25" s="186"/>
      <c r="C25" s="120"/>
      <c r="D25" s="25" t="s">
        <v>52</v>
      </c>
      <c r="E25" s="222"/>
      <c r="F25" s="223"/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Y25" s="223"/>
      <c r="Z25" s="223"/>
      <c r="AA25" s="223"/>
      <c r="AB25" s="223"/>
      <c r="AC25" s="223"/>
      <c r="AD25" s="223"/>
      <c r="AE25" s="223"/>
      <c r="AF25" s="223"/>
      <c r="AG25" s="224"/>
      <c r="AH25" s="26" t="s">
        <v>80</v>
      </c>
      <c r="AI25" s="112"/>
      <c r="AJ25" s="106"/>
      <c r="AK25" s="194"/>
      <c r="AL25" s="195"/>
      <c r="AM25" s="111"/>
      <c r="AN25" s="181"/>
    </row>
    <row r="26" spans="1:40" ht="22.5" customHeight="1" x14ac:dyDescent="0.4">
      <c r="A26" s="116"/>
      <c r="B26" s="186" t="s">
        <v>56</v>
      </c>
      <c r="C26" s="120" t="s">
        <v>32</v>
      </c>
      <c r="D26" s="25" t="s">
        <v>51</v>
      </c>
      <c r="E26" s="44"/>
      <c r="F26" s="26" t="s">
        <v>74</v>
      </c>
      <c r="G26" s="68" t="s">
        <v>70</v>
      </c>
      <c r="H26" s="26" t="s">
        <v>73</v>
      </c>
      <c r="I26" s="26" t="s">
        <v>120</v>
      </c>
      <c r="J26" s="68" t="s">
        <v>70</v>
      </c>
      <c r="K26" s="44" t="s">
        <v>70</v>
      </c>
      <c r="L26" s="44" t="s">
        <v>70</v>
      </c>
      <c r="M26" s="26" t="s">
        <v>69</v>
      </c>
      <c r="N26" s="26" t="s">
        <v>68</v>
      </c>
      <c r="O26" s="26" t="s">
        <v>69</v>
      </c>
      <c r="P26" s="26" t="s">
        <v>72</v>
      </c>
      <c r="Q26" s="26" t="s">
        <v>72</v>
      </c>
      <c r="R26" s="44" t="s">
        <v>70</v>
      </c>
      <c r="S26" s="44" t="s">
        <v>70</v>
      </c>
      <c r="T26" s="26" t="s">
        <v>69</v>
      </c>
      <c r="U26" s="26" t="s">
        <v>72</v>
      </c>
      <c r="V26" s="225" t="s">
        <v>520</v>
      </c>
      <c r="W26" s="226"/>
      <c r="X26" s="227"/>
      <c r="Y26" s="44" t="s">
        <v>70</v>
      </c>
      <c r="Z26" s="44" t="s">
        <v>70</v>
      </c>
      <c r="AA26" s="26" t="s">
        <v>76</v>
      </c>
      <c r="AB26" s="26" t="s">
        <v>72</v>
      </c>
      <c r="AC26" s="26" t="s">
        <v>75</v>
      </c>
      <c r="AD26" s="26" t="s">
        <v>72</v>
      </c>
      <c r="AE26" s="26" t="s">
        <v>72</v>
      </c>
      <c r="AF26" s="44" t="s">
        <v>70</v>
      </c>
      <c r="AG26" s="44" t="s">
        <v>70</v>
      </c>
      <c r="AH26" s="26" t="s">
        <v>69</v>
      </c>
      <c r="AI26" s="112"/>
      <c r="AJ26" s="106"/>
      <c r="AK26" s="194"/>
      <c r="AL26" s="195">
        <v>3</v>
      </c>
      <c r="AM26" s="111">
        <f>(F26+H26+I26+M26+N26+O26+P26+Q26+T26+U26+AA26+AB26+AC26+AD26+AE26+AH26)/16</f>
        <v>0.36458333333333337</v>
      </c>
      <c r="AN26" s="181">
        <f>(F27+H27+I27+M27+N27+O27+P27+Q27+T27+U27+AA27+AB27+AC27+AD27+AE27+AH27)/16</f>
        <v>0.77517361111111105</v>
      </c>
    </row>
    <row r="27" spans="1:40" ht="21.75" customHeight="1" x14ac:dyDescent="0.4">
      <c r="A27" s="116"/>
      <c r="B27" s="186"/>
      <c r="C27" s="120"/>
      <c r="D27" s="25" t="s">
        <v>52</v>
      </c>
      <c r="E27" s="44"/>
      <c r="F27" s="26" t="s">
        <v>141</v>
      </c>
      <c r="G27" s="68" t="s">
        <v>70</v>
      </c>
      <c r="H27" s="26" t="s">
        <v>80</v>
      </c>
      <c r="I27" s="26" t="s">
        <v>141</v>
      </c>
      <c r="J27" s="68" t="s">
        <v>70</v>
      </c>
      <c r="K27" s="44" t="s">
        <v>70</v>
      </c>
      <c r="L27" s="44" t="s">
        <v>70</v>
      </c>
      <c r="M27" s="26" t="s">
        <v>80</v>
      </c>
      <c r="N27" s="26" t="s">
        <v>85</v>
      </c>
      <c r="O27" s="26" t="s">
        <v>102</v>
      </c>
      <c r="P27" s="26" t="s">
        <v>80</v>
      </c>
      <c r="Q27" s="26" t="s">
        <v>89</v>
      </c>
      <c r="R27" s="44" t="s">
        <v>70</v>
      </c>
      <c r="S27" s="44" t="s">
        <v>70</v>
      </c>
      <c r="T27" s="26" t="s">
        <v>101</v>
      </c>
      <c r="U27" s="26" t="s">
        <v>91</v>
      </c>
      <c r="V27" s="228"/>
      <c r="W27" s="229"/>
      <c r="X27" s="230"/>
      <c r="Y27" s="44" t="s">
        <v>70</v>
      </c>
      <c r="Z27" s="44" t="s">
        <v>70</v>
      </c>
      <c r="AA27" s="26" t="s">
        <v>101</v>
      </c>
      <c r="AB27" s="26" t="s">
        <v>102</v>
      </c>
      <c r="AC27" s="26" t="s">
        <v>88</v>
      </c>
      <c r="AD27" s="26" t="s">
        <v>80</v>
      </c>
      <c r="AE27" s="26" t="s">
        <v>123</v>
      </c>
      <c r="AF27" s="44" t="s">
        <v>70</v>
      </c>
      <c r="AG27" s="44" t="s">
        <v>70</v>
      </c>
      <c r="AH27" s="26" t="s">
        <v>101</v>
      </c>
      <c r="AI27" s="112"/>
      <c r="AJ27" s="106"/>
      <c r="AK27" s="194"/>
      <c r="AL27" s="195"/>
      <c r="AM27" s="111"/>
      <c r="AN27" s="181"/>
    </row>
    <row r="28" spans="1:40" ht="21.75" customHeight="1" x14ac:dyDescent="0.4">
      <c r="A28" s="116"/>
      <c r="B28" s="186" t="s">
        <v>56</v>
      </c>
      <c r="C28" s="120" t="s">
        <v>242</v>
      </c>
      <c r="D28" s="25" t="s">
        <v>51</v>
      </c>
      <c r="E28" s="44"/>
      <c r="F28" s="26" t="s">
        <v>160</v>
      </c>
      <c r="G28" s="68" t="s">
        <v>70</v>
      </c>
      <c r="H28" s="26" t="s">
        <v>75</v>
      </c>
      <c r="I28" s="26" t="s">
        <v>71</v>
      </c>
      <c r="J28" s="68" t="s">
        <v>70</v>
      </c>
      <c r="K28" s="44" t="s">
        <v>70</v>
      </c>
      <c r="L28" s="44" t="s">
        <v>70</v>
      </c>
      <c r="M28" s="26" t="s">
        <v>149</v>
      </c>
      <c r="N28" s="26" t="s">
        <v>71</v>
      </c>
      <c r="O28" s="26" t="s">
        <v>121</v>
      </c>
      <c r="P28" s="26" t="s">
        <v>121</v>
      </c>
      <c r="Q28" s="26" t="s">
        <v>120</v>
      </c>
      <c r="R28" s="44" t="s">
        <v>70</v>
      </c>
      <c r="S28" s="44" t="s">
        <v>70</v>
      </c>
      <c r="T28" s="26" t="s">
        <v>121</v>
      </c>
      <c r="U28" s="26" t="s">
        <v>120</v>
      </c>
      <c r="V28" s="26" t="s">
        <v>120</v>
      </c>
      <c r="W28" s="26" t="s">
        <v>156</v>
      </c>
      <c r="X28" s="26" t="s">
        <v>121</v>
      </c>
      <c r="Y28" s="44" t="s">
        <v>70</v>
      </c>
      <c r="Z28" s="44" t="s">
        <v>70</v>
      </c>
      <c r="AA28" s="26" t="s">
        <v>69</v>
      </c>
      <c r="AB28" s="26" t="s">
        <v>121</v>
      </c>
      <c r="AC28" s="26" t="s">
        <v>121</v>
      </c>
      <c r="AD28" s="26" t="s">
        <v>68</v>
      </c>
      <c r="AE28" s="26" t="s">
        <v>121</v>
      </c>
      <c r="AF28" s="44" t="s">
        <v>70</v>
      </c>
      <c r="AG28" s="44" t="s">
        <v>70</v>
      </c>
      <c r="AH28" s="26" t="s">
        <v>160</v>
      </c>
      <c r="AI28" s="112"/>
      <c r="AJ28" s="106"/>
      <c r="AK28" s="194"/>
      <c r="AL28" s="195">
        <v>0.5</v>
      </c>
      <c r="AM28" s="111">
        <f>(F28+H28+I28+M28+N28+O28+P28+Q28+T28+U28+V28+W28+X28+AA28+AB28+AC28+AD28+AE28+AH28)/19</f>
        <v>0.36933479532163743</v>
      </c>
      <c r="AN28" s="181">
        <f>(F29+I29+M29+N29+O29+P29+Q29+T29+U29+W29+X29+AA29+AB29+AC29+AD29+AE29+AH29)/17</f>
        <v>0.77369281045751626</v>
      </c>
    </row>
    <row r="29" spans="1:40" ht="21.75" customHeight="1" x14ac:dyDescent="0.4">
      <c r="A29" s="117"/>
      <c r="B29" s="186"/>
      <c r="C29" s="120"/>
      <c r="D29" s="25" t="s">
        <v>52</v>
      </c>
      <c r="E29" s="44"/>
      <c r="F29" s="26" t="s">
        <v>83</v>
      </c>
      <c r="G29" s="68" t="s">
        <v>70</v>
      </c>
      <c r="H29" s="41" t="s">
        <v>279</v>
      </c>
      <c r="I29" s="26" t="s">
        <v>80</v>
      </c>
      <c r="J29" s="68" t="s">
        <v>70</v>
      </c>
      <c r="K29" s="44" t="s">
        <v>70</v>
      </c>
      <c r="L29" s="44" t="s">
        <v>70</v>
      </c>
      <c r="M29" s="26" t="s">
        <v>80</v>
      </c>
      <c r="N29" s="26" t="s">
        <v>80</v>
      </c>
      <c r="O29" s="26" t="s">
        <v>85</v>
      </c>
      <c r="P29" s="26" t="s">
        <v>102</v>
      </c>
      <c r="Q29" s="26" t="s">
        <v>80</v>
      </c>
      <c r="R29" s="44" t="s">
        <v>70</v>
      </c>
      <c r="S29" s="44" t="s">
        <v>70</v>
      </c>
      <c r="T29" s="26" t="s">
        <v>85</v>
      </c>
      <c r="U29" s="26" t="s">
        <v>80</v>
      </c>
      <c r="V29" s="26" t="s">
        <v>313</v>
      </c>
      <c r="W29" s="26" t="s">
        <v>89</v>
      </c>
      <c r="X29" s="26" t="s">
        <v>85</v>
      </c>
      <c r="Y29" s="44" t="s">
        <v>70</v>
      </c>
      <c r="Z29" s="44" t="s">
        <v>70</v>
      </c>
      <c r="AA29" s="26" t="s">
        <v>83</v>
      </c>
      <c r="AB29" s="26" t="s">
        <v>102</v>
      </c>
      <c r="AC29" s="26" t="s">
        <v>101</v>
      </c>
      <c r="AD29" s="26" t="s">
        <v>88</v>
      </c>
      <c r="AE29" s="26" t="s">
        <v>102</v>
      </c>
      <c r="AF29" s="44" t="s">
        <v>70</v>
      </c>
      <c r="AG29" s="44" t="s">
        <v>70</v>
      </c>
      <c r="AH29" s="26" t="s">
        <v>89</v>
      </c>
      <c r="AI29" s="112"/>
      <c r="AJ29" s="106"/>
      <c r="AK29" s="194"/>
      <c r="AL29" s="195"/>
      <c r="AM29" s="111"/>
      <c r="AN29" s="181"/>
    </row>
    <row r="30" spans="1:40" ht="21.75" customHeight="1" x14ac:dyDescent="0.4">
      <c r="A30" s="117"/>
      <c r="B30" s="186" t="s">
        <v>56</v>
      </c>
      <c r="C30" s="120" t="s">
        <v>492</v>
      </c>
      <c r="D30" s="25" t="s">
        <v>51</v>
      </c>
      <c r="E30" s="44"/>
      <c r="F30" s="26" t="s">
        <v>78</v>
      </c>
      <c r="G30" s="68" t="s">
        <v>70</v>
      </c>
      <c r="H30" s="26" t="s">
        <v>78</v>
      </c>
      <c r="I30" s="26" t="s">
        <v>78</v>
      </c>
      <c r="J30" s="68" t="s">
        <v>70</v>
      </c>
      <c r="K30" s="44" t="s">
        <v>70</v>
      </c>
      <c r="L30" s="44" t="s">
        <v>70</v>
      </c>
      <c r="M30" s="26" t="s">
        <v>78</v>
      </c>
      <c r="N30" s="26" t="s">
        <v>69</v>
      </c>
      <c r="O30" s="26" t="s">
        <v>73</v>
      </c>
      <c r="P30" s="26" t="s">
        <v>73</v>
      </c>
      <c r="Q30" s="26" t="s">
        <v>78</v>
      </c>
      <c r="R30" s="44" t="s">
        <v>70</v>
      </c>
      <c r="S30" s="44" t="s">
        <v>70</v>
      </c>
      <c r="T30" s="126" t="s">
        <v>176</v>
      </c>
      <c r="U30" s="126" t="s">
        <v>176</v>
      </c>
      <c r="V30" s="26" t="s">
        <v>96</v>
      </c>
      <c r="W30" s="26" t="s">
        <v>99</v>
      </c>
      <c r="X30" s="26" t="s">
        <v>69</v>
      </c>
      <c r="Y30" s="44" t="s">
        <v>70</v>
      </c>
      <c r="Z30" s="44" t="s">
        <v>70</v>
      </c>
      <c r="AA30" s="26" t="s">
        <v>77</v>
      </c>
      <c r="AB30" s="26" t="s">
        <v>99</v>
      </c>
      <c r="AC30" s="26" t="s">
        <v>72</v>
      </c>
      <c r="AD30" s="26" t="s">
        <v>73</v>
      </c>
      <c r="AE30" s="26" t="s">
        <v>137</v>
      </c>
      <c r="AF30" s="44" t="s">
        <v>70</v>
      </c>
      <c r="AG30" s="44" t="s">
        <v>70</v>
      </c>
      <c r="AH30" s="26" t="s">
        <v>76</v>
      </c>
      <c r="AI30" s="112"/>
      <c r="AJ30" s="106"/>
      <c r="AK30" s="194"/>
      <c r="AL30" s="195">
        <v>2.5</v>
      </c>
      <c r="AM30" s="111">
        <f>(F30+H30+I30+M30+N30+O30+P30+Q30+V30+W30+X30+AA30+AB30+AC30+AD30+AE30+AH30)/17</f>
        <v>0.35964052287581705</v>
      </c>
      <c r="AN30" s="181">
        <f>(F31+H31+I31+M31+N31+O31+P31+Q31+W31+X31+AA31+AB31+AC31+AD31+AE31)/15</f>
        <v>0.77162037037037046</v>
      </c>
    </row>
    <row r="31" spans="1:40" ht="21.75" customHeight="1" thickBot="1" x14ac:dyDescent="0.45">
      <c r="A31" s="117"/>
      <c r="B31" s="187"/>
      <c r="C31" s="121"/>
      <c r="D31" s="31" t="s">
        <v>52</v>
      </c>
      <c r="E31" s="45"/>
      <c r="F31" s="32" t="s">
        <v>312</v>
      </c>
      <c r="G31" s="69" t="s">
        <v>70</v>
      </c>
      <c r="H31" s="32" t="s">
        <v>88</v>
      </c>
      <c r="I31" s="32" t="s">
        <v>312</v>
      </c>
      <c r="J31" s="69" t="s">
        <v>70</v>
      </c>
      <c r="K31" s="45" t="s">
        <v>70</v>
      </c>
      <c r="L31" s="45" t="s">
        <v>70</v>
      </c>
      <c r="M31" s="32" t="s">
        <v>88</v>
      </c>
      <c r="N31" s="32" t="s">
        <v>88</v>
      </c>
      <c r="O31" s="32" t="s">
        <v>80</v>
      </c>
      <c r="P31" s="32" t="s">
        <v>88</v>
      </c>
      <c r="Q31" s="32" t="s">
        <v>88</v>
      </c>
      <c r="R31" s="45" t="s">
        <v>70</v>
      </c>
      <c r="S31" s="45" t="s">
        <v>70</v>
      </c>
      <c r="T31" s="182"/>
      <c r="U31" s="182"/>
      <c r="V31" s="32" t="s">
        <v>313</v>
      </c>
      <c r="W31" s="32" t="s">
        <v>88</v>
      </c>
      <c r="X31" s="32" t="s">
        <v>88</v>
      </c>
      <c r="Y31" s="45" t="s">
        <v>70</v>
      </c>
      <c r="Z31" s="45" t="s">
        <v>70</v>
      </c>
      <c r="AA31" s="32" t="s">
        <v>80</v>
      </c>
      <c r="AB31" s="32" t="s">
        <v>80</v>
      </c>
      <c r="AC31" s="32" t="s">
        <v>88</v>
      </c>
      <c r="AD31" s="32" t="s">
        <v>88</v>
      </c>
      <c r="AE31" s="32" t="s">
        <v>80</v>
      </c>
      <c r="AF31" s="45" t="s">
        <v>70</v>
      </c>
      <c r="AG31" s="45" t="s">
        <v>70</v>
      </c>
      <c r="AH31" s="63" t="s">
        <v>279</v>
      </c>
      <c r="AI31" s="122"/>
      <c r="AJ31" s="167"/>
      <c r="AK31" s="196"/>
      <c r="AL31" s="197"/>
      <c r="AM31" s="188"/>
      <c r="AN31" s="189"/>
    </row>
    <row r="32" spans="1:40" ht="21.75" customHeight="1" x14ac:dyDescent="0.4">
      <c r="A32" s="123" t="s">
        <v>64</v>
      </c>
      <c r="B32" s="190" t="s">
        <v>59</v>
      </c>
      <c r="C32" s="159" t="s">
        <v>65</v>
      </c>
      <c r="D32" s="33" t="s">
        <v>51</v>
      </c>
      <c r="E32" s="43"/>
      <c r="F32" s="34" t="s">
        <v>311</v>
      </c>
      <c r="G32" s="67" t="s">
        <v>70</v>
      </c>
      <c r="H32" s="34" t="s">
        <v>152</v>
      </c>
      <c r="I32" s="34" t="s">
        <v>142</v>
      </c>
      <c r="J32" s="67" t="s">
        <v>70</v>
      </c>
      <c r="K32" s="43" t="s">
        <v>70</v>
      </c>
      <c r="L32" s="43" t="s">
        <v>70</v>
      </c>
      <c r="M32" s="34" t="s">
        <v>100</v>
      </c>
      <c r="N32" s="34" t="s">
        <v>100</v>
      </c>
      <c r="O32" s="34" t="s">
        <v>100</v>
      </c>
      <c r="P32" s="34" t="s">
        <v>311</v>
      </c>
      <c r="Q32" s="34" t="s">
        <v>137</v>
      </c>
      <c r="R32" s="43" t="s">
        <v>70</v>
      </c>
      <c r="S32" s="43" t="s">
        <v>70</v>
      </c>
      <c r="T32" s="34" t="s">
        <v>179</v>
      </c>
      <c r="U32" s="34" t="s">
        <v>73</v>
      </c>
      <c r="V32" s="34" t="s">
        <v>76</v>
      </c>
      <c r="W32" s="34" t="s">
        <v>100</v>
      </c>
      <c r="X32" s="34" t="s">
        <v>94</v>
      </c>
      <c r="Y32" s="43" t="s">
        <v>70</v>
      </c>
      <c r="Z32" s="43" t="s">
        <v>70</v>
      </c>
      <c r="AA32" s="34" t="s">
        <v>74</v>
      </c>
      <c r="AB32" s="34" t="s">
        <v>95</v>
      </c>
      <c r="AC32" s="34" t="s">
        <v>142</v>
      </c>
      <c r="AD32" s="34" t="s">
        <v>94</v>
      </c>
      <c r="AE32" s="34" t="s">
        <v>143</v>
      </c>
      <c r="AF32" s="43" t="s">
        <v>70</v>
      </c>
      <c r="AG32" s="43" t="s">
        <v>70</v>
      </c>
      <c r="AH32" s="34" t="s">
        <v>100</v>
      </c>
      <c r="AI32" s="160"/>
      <c r="AJ32" s="166"/>
      <c r="AK32" s="108" t="s">
        <v>526</v>
      </c>
      <c r="AL32" s="110"/>
      <c r="AM32" s="111">
        <f>(F32+H32+I32+M32+N32+O32+P32+Q32+T32+U32+V32+W32+X32+AA32+AB32+AC32+AD32+AE32+AH32)/19</f>
        <v>0.35822368421052636</v>
      </c>
      <c r="AN32" s="181">
        <f>(F33+H33+I33+M33+N33+O33+P33+Q33+T33+U33+W33+X33+AA33+AB33+AC33+AD33+AE33+AH33)/18</f>
        <v>0.81481481481481477</v>
      </c>
    </row>
    <row r="33" spans="1:40" ht="21.75" customHeight="1" x14ac:dyDescent="0.4">
      <c r="A33" s="124"/>
      <c r="B33" s="186"/>
      <c r="C33" s="120"/>
      <c r="D33" s="25" t="s">
        <v>52</v>
      </c>
      <c r="E33" s="44"/>
      <c r="F33" s="26" t="s">
        <v>349</v>
      </c>
      <c r="G33" s="68" t="s">
        <v>70</v>
      </c>
      <c r="H33" s="26" t="s">
        <v>270</v>
      </c>
      <c r="I33" s="26" t="s">
        <v>118</v>
      </c>
      <c r="J33" s="68" t="s">
        <v>70</v>
      </c>
      <c r="K33" s="44" t="s">
        <v>70</v>
      </c>
      <c r="L33" s="44" t="s">
        <v>70</v>
      </c>
      <c r="M33" s="26" t="s">
        <v>114</v>
      </c>
      <c r="N33" s="26" t="s">
        <v>306</v>
      </c>
      <c r="O33" s="26" t="s">
        <v>290</v>
      </c>
      <c r="P33" s="26" t="s">
        <v>305</v>
      </c>
      <c r="Q33" s="26" t="s">
        <v>117</v>
      </c>
      <c r="R33" s="44" t="s">
        <v>70</v>
      </c>
      <c r="S33" s="44" t="s">
        <v>70</v>
      </c>
      <c r="T33" s="26" t="s">
        <v>167</v>
      </c>
      <c r="U33" s="26" t="s">
        <v>190</v>
      </c>
      <c r="V33" s="26" t="s">
        <v>290</v>
      </c>
      <c r="W33" s="26" t="s">
        <v>112</v>
      </c>
      <c r="X33" s="26" t="s">
        <v>185</v>
      </c>
      <c r="Y33" s="44" t="s">
        <v>70</v>
      </c>
      <c r="Z33" s="44" t="s">
        <v>70</v>
      </c>
      <c r="AA33" s="26" t="s">
        <v>334</v>
      </c>
      <c r="AB33" s="26" t="s">
        <v>290</v>
      </c>
      <c r="AC33" s="26" t="s">
        <v>144</v>
      </c>
      <c r="AD33" s="26" t="s">
        <v>127</v>
      </c>
      <c r="AE33" s="26" t="s">
        <v>339</v>
      </c>
      <c r="AF33" s="44" t="s">
        <v>70</v>
      </c>
      <c r="AG33" s="44" t="s">
        <v>70</v>
      </c>
      <c r="AH33" s="26" t="s">
        <v>167</v>
      </c>
      <c r="AI33" s="127"/>
      <c r="AJ33" s="106"/>
      <c r="AK33" s="194"/>
      <c r="AL33" s="195"/>
      <c r="AM33" s="111"/>
      <c r="AN33" s="181"/>
    </row>
    <row r="34" spans="1:40" ht="21.75" customHeight="1" x14ac:dyDescent="0.4">
      <c r="A34" s="124"/>
      <c r="B34" s="186" t="s">
        <v>67</v>
      </c>
      <c r="C34" s="120" t="s">
        <v>66</v>
      </c>
      <c r="D34" s="25" t="s">
        <v>51</v>
      </c>
      <c r="E34" s="44"/>
      <c r="F34" s="26" t="s">
        <v>119</v>
      </c>
      <c r="G34" s="68" t="s">
        <v>70</v>
      </c>
      <c r="H34" s="26" t="s">
        <v>75</v>
      </c>
      <c r="I34" s="26" t="s">
        <v>94</v>
      </c>
      <c r="J34" s="68" t="s">
        <v>70</v>
      </c>
      <c r="K34" s="44" t="s">
        <v>70</v>
      </c>
      <c r="L34" s="44" t="s">
        <v>70</v>
      </c>
      <c r="M34" s="26" t="s">
        <v>69</v>
      </c>
      <c r="N34" s="26" t="s">
        <v>68</v>
      </c>
      <c r="O34" s="26" t="s">
        <v>94</v>
      </c>
      <c r="P34" s="26" t="s">
        <v>121</v>
      </c>
      <c r="Q34" s="26" t="s">
        <v>119</v>
      </c>
      <c r="R34" s="44" t="s">
        <v>70</v>
      </c>
      <c r="S34" s="44" t="s">
        <v>70</v>
      </c>
      <c r="T34" s="26" t="s">
        <v>76</v>
      </c>
      <c r="U34" s="26" t="s">
        <v>74</v>
      </c>
      <c r="V34" s="26" t="s">
        <v>119</v>
      </c>
      <c r="W34" s="26" t="s">
        <v>69</v>
      </c>
      <c r="X34" s="26" t="s">
        <v>119</v>
      </c>
      <c r="Y34" s="44" t="s">
        <v>70</v>
      </c>
      <c r="Z34" s="44" t="s">
        <v>70</v>
      </c>
      <c r="AA34" s="26" t="s">
        <v>76</v>
      </c>
      <c r="AB34" s="26" t="s">
        <v>76</v>
      </c>
      <c r="AC34" s="26" t="s">
        <v>72</v>
      </c>
      <c r="AD34" s="26" t="s">
        <v>100</v>
      </c>
      <c r="AE34" s="26" t="s">
        <v>78</v>
      </c>
      <c r="AF34" s="44" t="s">
        <v>70</v>
      </c>
      <c r="AG34" s="44" t="s">
        <v>70</v>
      </c>
      <c r="AH34" s="26" t="s">
        <v>75</v>
      </c>
      <c r="AI34" s="112"/>
      <c r="AJ34" s="106"/>
      <c r="AK34" s="194" t="s">
        <v>527</v>
      </c>
      <c r="AL34" s="195"/>
      <c r="AM34" s="111">
        <f>(F34+H34+I34+M34+N34+O34+P34+Q34+T34+U34+V34+W34+X34+AA34+AB34+AC34+AD34+AE34+AH34)/19</f>
        <v>0.36385233918128662</v>
      </c>
      <c r="AN34" s="181">
        <f>(F35+H35+I35+M35+N35+O35+P35+Q35+T35+U35+W35+X35+AA35+AB35+AC35+AD35+AE35+AH35)/18</f>
        <v>0.83464506172839514</v>
      </c>
    </row>
    <row r="35" spans="1:40" ht="21.75" customHeight="1" x14ac:dyDescent="0.4">
      <c r="A35" s="124"/>
      <c r="B35" s="186"/>
      <c r="C35" s="120"/>
      <c r="D35" s="25" t="s">
        <v>52</v>
      </c>
      <c r="E35" s="44"/>
      <c r="F35" s="26" t="s">
        <v>331</v>
      </c>
      <c r="G35" s="68" t="s">
        <v>70</v>
      </c>
      <c r="H35" s="26" t="s">
        <v>130</v>
      </c>
      <c r="I35" s="26" t="s">
        <v>512</v>
      </c>
      <c r="J35" s="68" t="s">
        <v>70</v>
      </c>
      <c r="K35" s="44" t="s">
        <v>70</v>
      </c>
      <c r="L35" s="44" t="s">
        <v>70</v>
      </c>
      <c r="M35" s="26" t="s">
        <v>298</v>
      </c>
      <c r="N35" s="26" t="s">
        <v>310</v>
      </c>
      <c r="O35" s="26" t="s">
        <v>150</v>
      </c>
      <c r="P35" s="26" t="s">
        <v>305</v>
      </c>
      <c r="Q35" s="26" t="s">
        <v>126</v>
      </c>
      <c r="R35" s="44" t="s">
        <v>70</v>
      </c>
      <c r="S35" s="44" t="s">
        <v>70</v>
      </c>
      <c r="T35" s="26" t="s">
        <v>114</v>
      </c>
      <c r="U35" s="26" t="s">
        <v>483</v>
      </c>
      <c r="V35" s="26" t="s">
        <v>513</v>
      </c>
      <c r="W35" s="26" t="s">
        <v>203</v>
      </c>
      <c r="X35" s="26" t="s">
        <v>310</v>
      </c>
      <c r="Y35" s="44" t="s">
        <v>70</v>
      </c>
      <c r="Z35" s="44" t="s">
        <v>70</v>
      </c>
      <c r="AA35" s="26" t="s">
        <v>394</v>
      </c>
      <c r="AB35" s="26" t="s">
        <v>403</v>
      </c>
      <c r="AC35" s="26" t="s">
        <v>514</v>
      </c>
      <c r="AD35" s="26" t="s">
        <v>455</v>
      </c>
      <c r="AE35" s="26" t="s">
        <v>183</v>
      </c>
      <c r="AF35" s="44" t="s">
        <v>70</v>
      </c>
      <c r="AG35" s="44" t="s">
        <v>70</v>
      </c>
      <c r="AH35" s="26" t="s">
        <v>159</v>
      </c>
      <c r="AI35" s="112"/>
      <c r="AJ35" s="106"/>
      <c r="AK35" s="194"/>
      <c r="AL35" s="195"/>
      <c r="AM35" s="111"/>
      <c r="AN35" s="181"/>
    </row>
    <row r="36" spans="1:40" ht="21.75" customHeight="1" x14ac:dyDescent="0.4">
      <c r="A36" s="124"/>
      <c r="B36" s="186" t="s">
        <v>49</v>
      </c>
      <c r="C36" s="120" t="s">
        <v>194</v>
      </c>
      <c r="D36" s="25" t="s">
        <v>51</v>
      </c>
      <c r="E36" s="44"/>
      <c r="F36" s="26" t="s">
        <v>75</v>
      </c>
      <c r="G36" s="68" t="s">
        <v>70</v>
      </c>
      <c r="H36" s="26" t="s">
        <v>75</v>
      </c>
      <c r="I36" s="26" t="s">
        <v>160</v>
      </c>
      <c r="J36" s="68" t="s">
        <v>70</v>
      </c>
      <c r="K36" s="44" t="s">
        <v>70</v>
      </c>
      <c r="L36" s="44" t="s">
        <v>70</v>
      </c>
      <c r="M36" s="26" t="s">
        <v>120</v>
      </c>
      <c r="N36" s="26" t="s">
        <v>68</v>
      </c>
      <c r="O36" s="26" t="s">
        <v>121</v>
      </c>
      <c r="P36" s="26" t="s">
        <v>121</v>
      </c>
      <c r="Q36" s="26" t="s">
        <v>156</v>
      </c>
      <c r="R36" s="44" t="s">
        <v>70</v>
      </c>
      <c r="S36" s="44" t="s">
        <v>70</v>
      </c>
      <c r="T36" s="26" t="s">
        <v>69</v>
      </c>
      <c r="U36" s="26" t="s">
        <v>156</v>
      </c>
      <c r="V36" s="26" t="s">
        <v>156</v>
      </c>
      <c r="W36" s="26" t="s">
        <v>69</v>
      </c>
      <c r="X36" s="26" t="s">
        <v>68</v>
      </c>
      <c r="Y36" s="44" t="s">
        <v>70</v>
      </c>
      <c r="Z36" s="44" t="s">
        <v>70</v>
      </c>
      <c r="AA36" s="26" t="s">
        <v>71</v>
      </c>
      <c r="AB36" s="26" t="s">
        <v>156</v>
      </c>
      <c r="AC36" s="26" t="s">
        <v>72</v>
      </c>
      <c r="AD36" s="41" t="s">
        <v>279</v>
      </c>
      <c r="AE36" s="26" t="s">
        <v>156</v>
      </c>
      <c r="AF36" s="44" t="s">
        <v>70</v>
      </c>
      <c r="AG36" s="44" t="s">
        <v>70</v>
      </c>
      <c r="AH36" s="26" t="s">
        <v>69</v>
      </c>
      <c r="AI36" s="112"/>
      <c r="AJ36" s="106"/>
      <c r="AK36" s="106" t="s">
        <v>528</v>
      </c>
      <c r="AL36" s="195">
        <v>1</v>
      </c>
      <c r="AM36" s="111">
        <f>(F36+H36+I36+M36+N36+O36+P36+Q36+T36+U36+V36+W36+X36+AA36+AB36+AC36+AE36+AH36)/18</f>
        <v>0.36855709876543208</v>
      </c>
      <c r="AN36" s="181">
        <f>(F37+H37+I37+M37+N37+P37+Q37+T37+U37+W37+X37+AA37+AB37+AC37+AD37+AE37+AH37)/17</f>
        <v>0.78688725490196088</v>
      </c>
    </row>
    <row r="37" spans="1:40" ht="21.75" customHeight="1" x14ac:dyDescent="0.4">
      <c r="A37" s="124"/>
      <c r="B37" s="186"/>
      <c r="C37" s="120"/>
      <c r="D37" s="25" t="s">
        <v>52</v>
      </c>
      <c r="E37" s="44"/>
      <c r="F37" s="26" t="s">
        <v>123</v>
      </c>
      <c r="G37" s="68" t="s">
        <v>70</v>
      </c>
      <c r="H37" s="26" t="s">
        <v>91</v>
      </c>
      <c r="I37" s="26" t="s">
        <v>515</v>
      </c>
      <c r="J37" s="68" t="s">
        <v>70</v>
      </c>
      <c r="K37" s="44" t="s">
        <v>70</v>
      </c>
      <c r="L37" s="44" t="s">
        <v>70</v>
      </c>
      <c r="M37" s="26" t="s">
        <v>401</v>
      </c>
      <c r="N37" s="26" t="s">
        <v>123</v>
      </c>
      <c r="O37" s="41" t="s">
        <v>279</v>
      </c>
      <c r="P37" s="26" t="s">
        <v>141</v>
      </c>
      <c r="Q37" s="26" t="s">
        <v>87</v>
      </c>
      <c r="R37" s="44" t="s">
        <v>70</v>
      </c>
      <c r="S37" s="44" t="s">
        <v>70</v>
      </c>
      <c r="T37" s="26" t="s">
        <v>309</v>
      </c>
      <c r="U37" s="26" t="s">
        <v>147</v>
      </c>
      <c r="V37" s="26" t="s">
        <v>340</v>
      </c>
      <c r="W37" s="26" t="s">
        <v>103</v>
      </c>
      <c r="X37" s="26" t="s">
        <v>150</v>
      </c>
      <c r="Y37" s="44" t="s">
        <v>70</v>
      </c>
      <c r="Z37" s="44" t="s">
        <v>70</v>
      </c>
      <c r="AA37" s="26" t="s">
        <v>92</v>
      </c>
      <c r="AB37" s="26" t="s">
        <v>312</v>
      </c>
      <c r="AC37" s="26" t="s">
        <v>86</v>
      </c>
      <c r="AD37" s="26" t="s">
        <v>86</v>
      </c>
      <c r="AE37" s="26" t="s">
        <v>123</v>
      </c>
      <c r="AF37" s="44" t="s">
        <v>70</v>
      </c>
      <c r="AG37" s="44" t="s">
        <v>70</v>
      </c>
      <c r="AH37" s="26" t="s">
        <v>98</v>
      </c>
      <c r="AI37" s="112"/>
      <c r="AJ37" s="106"/>
      <c r="AK37" s="106"/>
      <c r="AL37" s="195"/>
      <c r="AM37" s="111"/>
      <c r="AN37" s="181"/>
    </row>
    <row r="38" spans="1:40" ht="21.75" customHeight="1" x14ac:dyDescent="0.4">
      <c r="A38" s="124"/>
      <c r="B38" s="186" t="s">
        <v>56</v>
      </c>
      <c r="C38" s="120" t="s">
        <v>227</v>
      </c>
      <c r="D38" s="25" t="s">
        <v>51</v>
      </c>
      <c r="E38" s="44"/>
      <c r="F38" s="26" t="s">
        <v>160</v>
      </c>
      <c r="G38" s="68" t="s">
        <v>70</v>
      </c>
      <c r="H38" s="26" t="s">
        <v>121</v>
      </c>
      <c r="I38" s="26" t="s">
        <v>120</v>
      </c>
      <c r="J38" s="68" t="s">
        <v>70</v>
      </c>
      <c r="K38" s="44" t="s">
        <v>70</v>
      </c>
      <c r="L38" s="44" t="s">
        <v>70</v>
      </c>
      <c r="M38" s="26" t="s">
        <v>121</v>
      </c>
      <c r="N38" s="26" t="s">
        <v>71</v>
      </c>
      <c r="O38" s="26" t="s">
        <v>121</v>
      </c>
      <c r="P38" s="26" t="s">
        <v>120</v>
      </c>
      <c r="Q38" s="26" t="s">
        <v>135</v>
      </c>
      <c r="R38" s="44" t="s">
        <v>70</v>
      </c>
      <c r="S38" s="44" t="s">
        <v>70</v>
      </c>
      <c r="T38" s="26" t="s">
        <v>121</v>
      </c>
      <c r="U38" s="126" t="s">
        <v>176</v>
      </c>
      <c r="V38" s="26" t="s">
        <v>149</v>
      </c>
      <c r="W38" s="26" t="s">
        <v>156</v>
      </c>
      <c r="X38" s="26" t="s">
        <v>156</v>
      </c>
      <c r="Y38" s="44" t="s">
        <v>70</v>
      </c>
      <c r="Z38" s="44" t="s">
        <v>70</v>
      </c>
      <c r="AA38" s="26" t="s">
        <v>156</v>
      </c>
      <c r="AB38" s="26" t="s">
        <v>120</v>
      </c>
      <c r="AC38" s="26" t="s">
        <v>121</v>
      </c>
      <c r="AD38" s="26" t="s">
        <v>149</v>
      </c>
      <c r="AE38" s="26" t="s">
        <v>156</v>
      </c>
      <c r="AF38" s="44" t="s">
        <v>70</v>
      </c>
      <c r="AG38" s="44" t="s">
        <v>70</v>
      </c>
      <c r="AH38" s="26" t="s">
        <v>149</v>
      </c>
      <c r="AI38" s="112"/>
      <c r="AJ38" s="106"/>
      <c r="AK38" s="194"/>
      <c r="AL38" s="195">
        <v>1.5</v>
      </c>
      <c r="AM38" s="111">
        <f>(F38+H38+I38+M38+N38+O38+P38+Q38+T38+V38+W38+X38+AA38+AB38+AC38+AD38+AE38+AH38)/18</f>
        <v>0.37052469135802468</v>
      </c>
      <c r="AN38" s="181">
        <f>(F39+H39+I39+M39+N39+O39+P39+T39+W39+X39+AA39+AB39+AC39+AD39+AE39+AH39)/16</f>
        <v>0.77517361111111105</v>
      </c>
    </row>
    <row r="39" spans="1:40" ht="21.75" customHeight="1" x14ac:dyDescent="0.4">
      <c r="A39" s="124"/>
      <c r="B39" s="186"/>
      <c r="C39" s="120"/>
      <c r="D39" s="25" t="s">
        <v>52</v>
      </c>
      <c r="E39" s="44"/>
      <c r="F39" s="26" t="s">
        <v>83</v>
      </c>
      <c r="G39" s="68" t="s">
        <v>70</v>
      </c>
      <c r="H39" s="26" t="s">
        <v>101</v>
      </c>
      <c r="I39" s="26" t="s">
        <v>88</v>
      </c>
      <c r="J39" s="68" t="s">
        <v>70</v>
      </c>
      <c r="K39" s="44" t="s">
        <v>70</v>
      </c>
      <c r="L39" s="44" t="s">
        <v>70</v>
      </c>
      <c r="M39" s="26" t="s">
        <v>85</v>
      </c>
      <c r="N39" s="26" t="s">
        <v>80</v>
      </c>
      <c r="O39" s="26" t="s">
        <v>80</v>
      </c>
      <c r="P39" s="26" t="s">
        <v>88</v>
      </c>
      <c r="Q39" s="41" t="s">
        <v>279</v>
      </c>
      <c r="R39" s="44" t="s">
        <v>70</v>
      </c>
      <c r="S39" s="44" t="s">
        <v>70</v>
      </c>
      <c r="T39" s="26" t="s">
        <v>81</v>
      </c>
      <c r="U39" s="126"/>
      <c r="V39" s="26" t="s">
        <v>313</v>
      </c>
      <c r="W39" s="26" t="s">
        <v>85</v>
      </c>
      <c r="X39" s="26" t="s">
        <v>83</v>
      </c>
      <c r="Y39" s="44" t="s">
        <v>70</v>
      </c>
      <c r="Z39" s="44" t="s">
        <v>70</v>
      </c>
      <c r="AA39" s="26" t="s">
        <v>88</v>
      </c>
      <c r="AB39" s="26" t="s">
        <v>88</v>
      </c>
      <c r="AC39" s="26" t="s">
        <v>80</v>
      </c>
      <c r="AD39" s="26" t="s">
        <v>80</v>
      </c>
      <c r="AE39" s="26" t="s">
        <v>310</v>
      </c>
      <c r="AF39" s="44" t="s">
        <v>70</v>
      </c>
      <c r="AG39" s="44" t="s">
        <v>70</v>
      </c>
      <c r="AH39" s="26" t="s">
        <v>85</v>
      </c>
      <c r="AI39" s="112"/>
      <c r="AJ39" s="106"/>
      <c r="AK39" s="194"/>
      <c r="AL39" s="195"/>
      <c r="AM39" s="111"/>
      <c r="AN39" s="181"/>
    </row>
    <row r="40" spans="1:40" ht="21.75" customHeight="1" x14ac:dyDescent="0.4">
      <c r="A40" s="124"/>
      <c r="B40" s="186" t="s">
        <v>56</v>
      </c>
      <c r="C40" s="120" t="s">
        <v>423</v>
      </c>
      <c r="D40" s="25" t="s">
        <v>51</v>
      </c>
      <c r="E40" s="44"/>
      <c r="F40" s="26" t="s">
        <v>122</v>
      </c>
      <c r="G40" s="68" t="s">
        <v>70</v>
      </c>
      <c r="H40" s="26" t="s">
        <v>122</v>
      </c>
      <c r="I40" s="126" t="s">
        <v>351</v>
      </c>
      <c r="J40" s="68" t="s">
        <v>70</v>
      </c>
      <c r="K40" s="44" t="s">
        <v>70</v>
      </c>
      <c r="L40" s="44" t="s">
        <v>70</v>
      </c>
      <c r="M40" s="26" t="s">
        <v>122</v>
      </c>
      <c r="N40" s="29" t="s">
        <v>485</v>
      </c>
      <c r="O40" s="26" t="s">
        <v>72</v>
      </c>
      <c r="P40" s="26" t="s">
        <v>160</v>
      </c>
      <c r="Q40" s="26" t="s">
        <v>135</v>
      </c>
      <c r="R40" s="44" t="s">
        <v>70</v>
      </c>
      <c r="S40" s="44" t="s">
        <v>70</v>
      </c>
      <c r="T40" s="26" t="s">
        <v>121</v>
      </c>
      <c r="U40" s="26" t="s">
        <v>122</v>
      </c>
      <c r="V40" s="26" t="s">
        <v>161</v>
      </c>
      <c r="W40" s="26" t="s">
        <v>71</v>
      </c>
      <c r="X40" s="26" t="s">
        <v>161</v>
      </c>
      <c r="Y40" s="44" t="s">
        <v>70</v>
      </c>
      <c r="Z40" s="44" t="s">
        <v>70</v>
      </c>
      <c r="AA40" s="26" t="s">
        <v>120</v>
      </c>
      <c r="AB40" s="26" t="s">
        <v>161</v>
      </c>
      <c r="AC40" s="26" t="s">
        <v>135</v>
      </c>
      <c r="AD40" s="26" t="s">
        <v>122</v>
      </c>
      <c r="AE40" s="26" t="s">
        <v>79</v>
      </c>
      <c r="AF40" s="44" t="s">
        <v>70</v>
      </c>
      <c r="AG40" s="44" t="s">
        <v>70</v>
      </c>
      <c r="AH40" s="26" t="s">
        <v>71</v>
      </c>
      <c r="AI40" s="127"/>
      <c r="AJ40" s="106" t="s">
        <v>528</v>
      </c>
      <c r="AK40" s="194"/>
      <c r="AL40" s="195"/>
      <c r="AM40" s="111">
        <f>(F40+H40+M40+N40+O40+P40+Q40+T40+U40+V40+W40+X40+AA40+AB40+AC40+AD40+AE40+AH40)/18</f>
        <v>0.37156635802469146</v>
      </c>
      <c r="AN40" s="181">
        <f>(F41+H41+M41+N41+O41+P41+Q41+T41+U41+W41+X41+AA41+AB41+AC41+AD41+AE41+AH41)/17</f>
        <v>0.77749183006535949</v>
      </c>
    </row>
    <row r="41" spans="1:40" ht="21.75" customHeight="1" x14ac:dyDescent="0.4">
      <c r="A41" s="124"/>
      <c r="B41" s="186"/>
      <c r="C41" s="120"/>
      <c r="D41" s="25" t="s">
        <v>52</v>
      </c>
      <c r="E41" s="44"/>
      <c r="F41" s="26" t="s">
        <v>308</v>
      </c>
      <c r="G41" s="68" t="s">
        <v>70</v>
      </c>
      <c r="H41" s="26" t="s">
        <v>101</v>
      </c>
      <c r="I41" s="126"/>
      <c r="J41" s="68" t="s">
        <v>70</v>
      </c>
      <c r="K41" s="44" t="s">
        <v>70</v>
      </c>
      <c r="L41" s="44" t="s">
        <v>70</v>
      </c>
      <c r="M41" s="26" t="s">
        <v>88</v>
      </c>
      <c r="N41" s="26" t="s">
        <v>80</v>
      </c>
      <c r="O41" s="26" t="s">
        <v>147</v>
      </c>
      <c r="P41" s="26" t="s">
        <v>103</v>
      </c>
      <c r="Q41" s="26" t="s">
        <v>88</v>
      </c>
      <c r="R41" s="44" t="s">
        <v>70</v>
      </c>
      <c r="S41" s="44" t="s">
        <v>70</v>
      </c>
      <c r="T41" s="26" t="s">
        <v>91</v>
      </c>
      <c r="U41" s="26" t="s">
        <v>101</v>
      </c>
      <c r="V41" s="26" t="s">
        <v>364</v>
      </c>
      <c r="W41" s="26" t="s">
        <v>88</v>
      </c>
      <c r="X41" s="26" t="s">
        <v>147</v>
      </c>
      <c r="Y41" s="44" t="s">
        <v>70</v>
      </c>
      <c r="Z41" s="44" t="s">
        <v>70</v>
      </c>
      <c r="AA41" s="26" t="s">
        <v>88</v>
      </c>
      <c r="AB41" s="26" t="s">
        <v>80</v>
      </c>
      <c r="AC41" s="26" t="s">
        <v>154</v>
      </c>
      <c r="AD41" s="26" t="s">
        <v>85</v>
      </c>
      <c r="AE41" s="26" t="s">
        <v>84</v>
      </c>
      <c r="AF41" s="44" t="s">
        <v>70</v>
      </c>
      <c r="AG41" s="44" t="s">
        <v>70</v>
      </c>
      <c r="AH41" s="26" t="s">
        <v>85</v>
      </c>
      <c r="AI41" s="127"/>
      <c r="AJ41" s="106"/>
      <c r="AK41" s="194"/>
      <c r="AL41" s="195"/>
      <c r="AM41" s="111"/>
      <c r="AN41" s="181"/>
    </row>
    <row r="42" spans="1:40" ht="21.75" customHeight="1" x14ac:dyDescent="0.4">
      <c r="A42" s="124"/>
      <c r="B42" s="186" t="s">
        <v>56</v>
      </c>
      <c r="C42" s="120" t="s">
        <v>516</v>
      </c>
      <c r="D42" s="25" t="s">
        <v>51</v>
      </c>
      <c r="E42" s="44"/>
      <c r="F42" s="26" t="s">
        <v>120</v>
      </c>
      <c r="G42" s="68" t="s">
        <v>70</v>
      </c>
      <c r="H42" s="26" t="s">
        <v>120</v>
      </c>
      <c r="I42" s="26" t="s">
        <v>120</v>
      </c>
      <c r="J42" s="68" t="s">
        <v>70</v>
      </c>
      <c r="K42" s="44" t="s">
        <v>70</v>
      </c>
      <c r="L42" s="44" t="s">
        <v>70</v>
      </c>
      <c r="M42" s="34" t="s">
        <v>120</v>
      </c>
      <c r="N42" s="34" t="s">
        <v>71</v>
      </c>
      <c r="O42" s="34" t="s">
        <v>160</v>
      </c>
      <c r="P42" s="34" t="s">
        <v>75</v>
      </c>
      <c r="Q42" s="34" t="s">
        <v>135</v>
      </c>
      <c r="R42" s="43" t="s">
        <v>70</v>
      </c>
      <c r="S42" s="43" t="s">
        <v>70</v>
      </c>
      <c r="T42" s="34" t="s">
        <v>120</v>
      </c>
      <c r="U42" s="34" t="s">
        <v>120</v>
      </c>
      <c r="V42" s="34" t="s">
        <v>135</v>
      </c>
      <c r="W42" s="34" t="s">
        <v>68</v>
      </c>
      <c r="X42" s="34" t="s">
        <v>156</v>
      </c>
      <c r="Y42" s="43" t="s">
        <v>70</v>
      </c>
      <c r="Z42" s="43" t="s">
        <v>70</v>
      </c>
      <c r="AA42" s="34" t="s">
        <v>68</v>
      </c>
      <c r="AB42" s="34" t="s">
        <v>120</v>
      </c>
      <c r="AC42" s="26" t="s">
        <v>121</v>
      </c>
      <c r="AD42" s="26" t="s">
        <v>68</v>
      </c>
      <c r="AE42" s="26" t="s">
        <v>160</v>
      </c>
      <c r="AF42" s="44" t="s">
        <v>70</v>
      </c>
      <c r="AG42" s="44" t="s">
        <v>70</v>
      </c>
      <c r="AH42" s="126" t="s">
        <v>176</v>
      </c>
      <c r="AI42" s="112"/>
      <c r="AJ42" s="106"/>
      <c r="AK42" s="106"/>
      <c r="AL42" s="195">
        <v>1</v>
      </c>
      <c r="AM42" s="111">
        <f>(F42+H42+I42+M42+N42+O42+P42+Q42+T42+U42+V42+W42+X42+AA42+AB42+AC42+AD42+AE42)/18</f>
        <v>0.36882716049382719</v>
      </c>
      <c r="AN42" s="181">
        <f>(F43+H43+I43+M43+N43+O43+P43+Q43+T43+U43+W43+X43+AA43+AB43+AC43+AD43+AE43)/17</f>
        <v>0.77357026143790841</v>
      </c>
    </row>
    <row r="43" spans="1:40" ht="21.75" customHeight="1" thickBot="1" x14ac:dyDescent="0.45">
      <c r="A43" s="125"/>
      <c r="B43" s="187"/>
      <c r="C43" s="121"/>
      <c r="D43" s="31" t="s">
        <v>52</v>
      </c>
      <c r="E43" s="45"/>
      <c r="F43" s="32" t="s">
        <v>88</v>
      </c>
      <c r="G43" s="69" t="s">
        <v>70</v>
      </c>
      <c r="H43" s="32" t="s">
        <v>101</v>
      </c>
      <c r="I43" s="32" t="s">
        <v>88</v>
      </c>
      <c r="J43" s="69" t="s">
        <v>70</v>
      </c>
      <c r="K43" s="45" t="s">
        <v>70</v>
      </c>
      <c r="L43" s="45" t="s">
        <v>70</v>
      </c>
      <c r="M43" s="32" t="s">
        <v>101</v>
      </c>
      <c r="N43" s="32" t="s">
        <v>80</v>
      </c>
      <c r="O43" s="32" t="s">
        <v>80</v>
      </c>
      <c r="P43" s="32" t="s">
        <v>101</v>
      </c>
      <c r="Q43" s="32" t="s">
        <v>80</v>
      </c>
      <c r="R43" s="45" t="s">
        <v>70</v>
      </c>
      <c r="S43" s="45" t="s">
        <v>70</v>
      </c>
      <c r="T43" s="32" t="s">
        <v>91</v>
      </c>
      <c r="U43" s="32" t="s">
        <v>85</v>
      </c>
      <c r="V43" s="32" t="s">
        <v>313</v>
      </c>
      <c r="W43" s="32" t="s">
        <v>85</v>
      </c>
      <c r="X43" s="32" t="s">
        <v>158</v>
      </c>
      <c r="Y43" s="45" t="s">
        <v>70</v>
      </c>
      <c r="Z43" s="45" t="s">
        <v>70</v>
      </c>
      <c r="AA43" s="32" t="s">
        <v>103</v>
      </c>
      <c r="AB43" s="32" t="s">
        <v>88</v>
      </c>
      <c r="AC43" s="32" t="s">
        <v>101</v>
      </c>
      <c r="AD43" s="32" t="s">
        <v>80</v>
      </c>
      <c r="AE43" s="32" t="s">
        <v>85</v>
      </c>
      <c r="AF43" s="45" t="s">
        <v>70</v>
      </c>
      <c r="AG43" s="45" t="s">
        <v>70</v>
      </c>
      <c r="AH43" s="182"/>
      <c r="AI43" s="122"/>
      <c r="AJ43" s="167"/>
      <c r="AK43" s="167"/>
      <c r="AL43" s="197"/>
      <c r="AM43" s="188"/>
      <c r="AN43" s="189"/>
    </row>
    <row r="44" spans="1:40" x14ac:dyDescent="0.4">
      <c r="AL44" s="36">
        <f>SUM(AL4:AL43)</f>
        <v>16.5</v>
      </c>
    </row>
  </sheetData>
  <mergeCells count="188">
    <mergeCell ref="AN38:AN39"/>
    <mergeCell ref="C38:C39"/>
    <mergeCell ref="AI38:AI39"/>
    <mergeCell ref="AJ38:AJ39"/>
    <mergeCell ref="AK38:AK39"/>
    <mergeCell ref="AL38:AL39"/>
    <mergeCell ref="AM38:AM39"/>
    <mergeCell ref="AN42:AN43"/>
    <mergeCell ref="B22:B23"/>
    <mergeCell ref="C22:C23"/>
    <mergeCell ref="AI22:AI23"/>
    <mergeCell ref="AJ22:AJ23"/>
    <mergeCell ref="AK22:AK23"/>
    <mergeCell ref="AL22:AL23"/>
    <mergeCell ref="AM22:AM23"/>
    <mergeCell ref="AN22:AN23"/>
    <mergeCell ref="B38:B39"/>
    <mergeCell ref="AM40:AM41"/>
    <mergeCell ref="AN40:AN41"/>
    <mergeCell ref="B42:B43"/>
    <mergeCell ref="C42:C43"/>
    <mergeCell ref="AI42:AI43"/>
    <mergeCell ref="AJ42:AJ43"/>
    <mergeCell ref="AK42:AK43"/>
    <mergeCell ref="AJ34:AJ35"/>
    <mergeCell ref="AK34:AK35"/>
    <mergeCell ref="AL34:AL35"/>
    <mergeCell ref="AL42:AL43"/>
    <mergeCell ref="AM42:AM43"/>
    <mergeCell ref="B40:B41"/>
    <mergeCell ref="C40:C41"/>
    <mergeCell ref="AI40:AI41"/>
    <mergeCell ref="AJ40:AJ41"/>
    <mergeCell ref="AK40:AK41"/>
    <mergeCell ref="AL40:AL41"/>
    <mergeCell ref="AM34:AM35"/>
    <mergeCell ref="AN30:AN31"/>
    <mergeCell ref="A32:A43"/>
    <mergeCell ref="B32:B33"/>
    <mergeCell ref="C32:C33"/>
    <mergeCell ref="AI32:AI33"/>
    <mergeCell ref="AJ32:AJ33"/>
    <mergeCell ref="AK32:AK33"/>
    <mergeCell ref="AL32:AL33"/>
    <mergeCell ref="AM32:AM33"/>
    <mergeCell ref="AN32:AN33"/>
    <mergeCell ref="AH42:AH43"/>
    <mergeCell ref="I40:I41"/>
    <mergeCell ref="AN34:AN35"/>
    <mergeCell ref="B36:B37"/>
    <mergeCell ref="C36:C37"/>
    <mergeCell ref="AI36:AI37"/>
    <mergeCell ref="AJ36:AJ37"/>
    <mergeCell ref="AK36:AK37"/>
    <mergeCell ref="AL36:AL37"/>
    <mergeCell ref="AM36:AM37"/>
    <mergeCell ref="AN36:AN37"/>
    <mergeCell ref="B34:B35"/>
    <mergeCell ref="C34:C35"/>
    <mergeCell ref="AI34:AI35"/>
    <mergeCell ref="AJ30:AJ31"/>
    <mergeCell ref="AK30:AK31"/>
    <mergeCell ref="AL30:AL31"/>
    <mergeCell ref="AM30:AM31"/>
    <mergeCell ref="B28:B29"/>
    <mergeCell ref="C28:C29"/>
    <mergeCell ref="AI28:AI29"/>
    <mergeCell ref="AJ28:AJ29"/>
    <mergeCell ref="AK28:AK29"/>
    <mergeCell ref="AL28:AL29"/>
    <mergeCell ref="AN20:AN21"/>
    <mergeCell ref="B26:B27"/>
    <mergeCell ref="C26:C27"/>
    <mergeCell ref="AI26:AI27"/>
    <mergeCell ref="AJ26:AJ27"/>
    <mergeCell ref="AK26:AK27"/>
    <mergeCell ref="AL26:AL27"/>
    <mergeCell ref="AM26:AM27"/>
    <mergeCell ref="AM28:AM29"/>
    <mergeCell ref="AN28:AN29"/>
    <mergeCell ref="AM24:AM25"/>
    <mergeCell ref="AN24:AN25"/>
    <mergeCell ref="V26:X27"/>
    <mergeCell ref="B24:B25"/>
    <mergeCell ref="C24:C25"/>
    <mergeCell ref="AI24:AI25"/>
    <mergeCell ref="AJ24:AJ25"/>
    <mergeCell ref="AK24:AK25"/>
    <mergeCell ref="AL24:AL25"/>
    <mergeCell ref="AN26:AN27"/>
    <mergeCell ref="AN18:AN19"/>
    <mergeCell ref="B20:B21"/>
    <mergeCell ref="C20:C21"/>
    <mergeCell ref="AI20:AI21"/>
    <mergeCell ref="AJ20:AJ21"/>
    <mergeCell ref="AK20:AK21"/>
    <mergeCell ref="AM16:AM17"/>
    <mergeCell ref="AN16:AN17"/>
    <mergeCell ref="A18:A31"/>
    <mergeCell ref="B18:B19"/>
    <mergeCell ref="C18:C19"/>
    <mergeCell ref="AI18:AI19"/>
    <mergeCell ref="AJ18:AJ19"/>
    <mergeCell ref="AK18:AK19"/>
    <mergeCell ref="AL18:AL19"/>
    <mergeCell ref="AM18:AM19"/>
    <mergeCell ref="B16:B17"/>
    <mergeCell ref="C16:C17"/>
    <mergeCell ref="AI16:AI17"/>
    <mergeCell ref="AJ16:AJ17"/>
    <mergeCell ref="AK16:AK17"/>
    <mergeCell ref="AL16:AL17"/>
    <mergeCell ref="AL20:AL21"/>
    <mergeCell ref="AM20:AM21"/>
    <mergeCell ref="AJ12:AJ13"/>
    <mergeCell ref="AK12:AK13"/>
    <mergeCell ref="AL12:AL13"/>
    <mergeCell ref="AM12:AM13"/>
    <mergeCell ref="AN12:AN13"/>
    <mergeCell ref="B14:B15"/>
    <mergeCell ref="C14:C15"/>
    <mergeCell ref="AI14:AI15"/>
    <mergeCell ref="AJ14:AJ15"/>
    <mergeCell ref="AK14:AK15"/>
    <mergeCell ref="AL14:AL15"/>
    <mergeCell ref="AM14:AM15"/>
    <mergeCell ref="AN14:AN15"/>
    <mergeCell ref="AJ6:AJ7"/>
    <mergeCell ref="AK8:AK9"/>
    <mergeCell ref="AL8:AL9"/>
    <mergeCell ref="AM8:AM9"/>
    <mergeCell ref="AN8:AN9"/>
    <mergeCell ref="B10:B11"/>
    <mergeCell ref="C10:C11"/>
    <mergeCell ref="AI10:AI11"/>
    <mergeCell ref="AJ10:AJ11"/>
    <mergeCell ref="AK10:AK11"/>
    <mergeCell ref="AL10:AL11"/>
    <mergeCell ref="AM10:AM11"/>
    <mergeCell ref="AN10:AN11"/>
    <mergeCell ref="AJ2:AJ3"/>
    <mergeCell ref="AK2:AK3"/>
    <mergeCell ref="AL2:AL3"/>
    <mergeCell ref="AM2:AM3"/>
    <mergeCell ref="AN2:AN3"/>
    <mergeCell ref="A4:A13"/>
    <mergeCell ref="B4:B5"/>
    <mergeCell ref="C4:C5"/>
    <mergeCell ref="AI4:AI5"/>
    <mergeCell ref="AK6:AK7"/>
    <mergeCell ref="AL6:AL7"/>
    <mergeCell ref="AM6:AM7"/>
    <mergeCell ref="AN6:AN7"/>
    <mergeCell ref="B8:B9"/>
    <mergeCell ref="C8:C9"/>
    <mergeCell ref="AI8:AI9"/>
    <mergeCell ref="AJ8:AJ9"/>
    <mergeCell ref="AJ4:AJ5"/>
    <mergeCell ref="AK4:AK5"/>
    <mergeCell ref="AL4:AL5"/>
    <mergeCell ref="AM4:AM5"/>
    <mergeCell ref="AN4:AN5"/>
    <mergeCell ref="B6:B7"/>
    <mergeCell ref="C6:C7"/>
    <mergeCell ref="A1:C1"/>
    <mergeCell ref="D1:I1"/>
    <mergeCell ref="A2:A3"/>
    <mergeCell ref="B2:B3"/>
    <mergeCell ref="C2:C3"/>
    <mergeCell ref="AI2:AI3"/>
    <mergeCell ref="N16:N17"/>
    <mergeCell ref="O20:O21"/>
    <mergeCell ref="U38:U39"/>
    <mergeCell ref="Q20:Q21"/>
    <mergeCell ref="AB12:AB13"/>
    <mergeCell ref="AC14:AC15"/>
    <mergeCell ref="AH20:AH21"/>
    <mergeCell ref="T30:T31"/>
    <mergeCell ref="U30:U31"/>
    <mergeCell ref="E24:AG25"/>
    <mergeCell ref="F20:F21"/>
    <mergeCell ref="AI6:AI7"/>
    <mergeCell ref="B12:B13"/>
    <mergeCell ref="C12:C13"/>
    <mergeCell ref="AI12:AI13"/>
    <mergeCell ref="B30:B31"/>
    <mergeCell ref="C30:C31"/>
    <mergeCell ref="AI30:AI31"/>
  </mergeCells>
  <phoneticPr fontId="5" type="noConversion"/>
  <conditionalFormatting sqref="E4:E24">
    <cfRule type="expression" dxfId="504" priority="200">
      <formula>OR(WEEKDAY(E$3)=7,WEEKDAY(E$3)=1)</formula>
    </cfRule>
  </conditionalFormatting>
  <conditionalFormatting sqref="E26:E43">
    <cfRule type="expression" dxfId="503" priority="208">
      <formula>OR(WEEKDAY(E$3)=7,WEEKDAY(E$3)=1)</formula>
    </cfRule>
  </conditionalFormatting>
  <conditionalFormatting sqref="E2:AH3">
    <cfRule type="expression" dxfId="502" priority="846">
      <formula>OR(WEEKDAY(E$3)=7,WEEKDAY(E$3)=1)</formula>
    </cfRule>
  </conditionalFormatting>
  <conditionalFormatting sqref="E3:AH3">
    <cfRule type="expression" dxfId="501" priority="852">
      <formula>WEEKDAY(E3)=7</formula>
    </cfRule>
    <cfRule type="expression" dxfId="500" priority="851">
      <formula>WEEKDAY(E3)=1</formula>
    </cfRule>
  </conditionalFormatting>
  <conditionalFormatting sqref="F4:F8">
    <cfRule type="expression" dxfId="499" priority="364">
      <formula>OR(WEEKDAY(F$3)=7,WEEKDAY(F$3)=1)</formula>
    </cfRule>
  </conditionalFormatting>
  <conditionalFormatting sqref="F10">
    <cfRule type="expression" dxfId="498" priority="363">
      <formula>OR(WEEKDAY(F$3)=7,WEEKDAY(F$3)=1)</formula>
    </cfRule>
  </conditionalFormatting>
  <conditionalFormatting sqref="F12:F15">
    <cfRule type="expression" dxfId="497" priority="680">
      <formula>OR(WEEKDAY(F$3)=7,WEEKDAY(F$3)=1)</formula>
    </cfRule>
  </conditionalFormatting>
  <conditionalFormatting sqref="F18:F20">
    <cfRule type="expression" dxfId="496" priority="17">
      <formula>OR(WEEKDAY(F$3)=7,WEEKDAY(F$3)=1)</formula>
    </cfRule>
  </conditionalFormatting>
  <conditionalFormatting sqref="F22:F23">
    <cfRule type="expression" dxfId="495" priority="52">
      <formula>OR(WEEKDAY(F$3)=7,WEEKDAY(F$3)=1)</formula>
    </cfRule>
  </conditionalFormatting>
  <conditionalFormatting sqref="F32:F38">
    <cfRule type="expression" dxfId="494" priority="261">
      <formula>OR(WEEKDAY(F$3)=7,WEEKDAY(F$3)=1)</formula>
    </cfRule>
  </conditionalFormatting>
  <conditionalFormatting sqref="F42:F43">
    <cfRule type="expression" dxfId="493" priority="28">
      <formula>OR(WEEKDAY(F$3)=7,WEEKDAY(F$3)=1)</formula>
    </cfRule>
  </conditionalFormatting>
  <conditionalFormatting sqref="F26:J29">
    <cfRule type="expression" dxfId="492" priority="46">
      <formula>OR(WEEKDAY(F$3)=7,WEEKDAY(F$3)=1)</formula>
    </cfRule>
  </conditionalFormatting>
  <conditionalFormatting sqref="G6:H23">
    <cfRule type="expression" dxfId="491" priority="54">
      <formula>OR(WEEKDAY(G$3)=7,WEEKDAY(G$3)=1)</formula>
    </cfRule>
  </conditionalFormatting>
  <conditionalFormatting sqref="G32:H43">
    <cfRule type="expression" dxfId="490" priority="30">
      <formula>OR(WEEKDAY(G$3)=7,WEEKDAY(G$3)=1)</formula>
    </cfRule>
  </conditionalFormatting>
  <conditionalFormatting sqref="G4:I5">
    <cfRule type="expression" dxfId="489" priority="308">
      <formula>OR(WEEKDAY(G$3)=7,WEEKDAY(G$3)=1)</formula>
    </cfRule>
  </conditionalFormatting>
  <conditionalFormatting sqref="I6:I9">
    <cfRule type="expression" dxfId="488" priority="667">
      <formula>OR(WEEKDAY(I$3)=7,WEEKDAY(I$3)=1)</formula>
    </cfRule>
  </conditionalFormatting>
  <conditionalFormatting sqref="I39:I40">
    <cfRule type="expression" dxfId="487" priority="6">
      <formula>OR(WEEKDAY(I$3)=7,WEEKDAY(I$3)=1)</formula>
    </cfRule>
  </conditionalFormatting>
  <conditionalFormatting sqref="I10:J15">
    <cfRule type="expression" dxfId="486" priority="26">
      <formula>OR(WEEKDAY(I$3)=7,WEEKDAY(I$3)=1)</formula>
    </cfRule>
  </conditionalFormatting>
  <conditionalFormatting sqref="I18:J23">
    <cfRule type="expression" dxfId="485" priority="297">
      <formula>OR(WEEKDAY(I$3)=7,WEEKDAY(I$3)=1)</formula>
    </cfRule>
  </conditionalFormatting>
  <conditionalFormatting sqref="I32:J38 J39">
    <cfRule type="expression" dxfId="484" priority="265">
      <formula>OR(WEEKDAY(I$3)=7,WEEKDAY(I$3)=1)</formula>
    </cfRule>
  </conditionalFormatting>
  <conditionalFormatting sqref="I42:J43">
    <cfRule type="expression" dxfId="483" priority="224">
      <formula>OR(WEEKDAY(I$3)=7,WEEKDAY(I$3)=1)</formula>
    </cfRule>
  </conditionalFormatting>
  <conditionalFormatting sqref="J4:J9">
    <cfRule type="expression" dxfId="482" priority="668">
      <formula>OR(WEEKDAY(J$3)=7,WEEKDAY(J$3)=1)</formula>
    </cfRule>
  </conditionalFormatting>
  <conditionalFormatting sqref="K4:L23">
    <cfRule type="expression" dxfId="481" priority="131">
      <formula>OR(WEEKDAY(K$3)=7,WEEKDAY(K$3)=1)</formula>
    </cfRule>
  </conditionalFormatting>
  <conditionalFormatting sqref="K26:L43">
    <cfRule type="expression" dxfId="480" priority="79">
      <formula>OR(WEEKDAY(K$3)=7,WEEKDAY(K$3)=1)</formula>
    </cfRule>
  </conditionalFormatting>
  <conditionalFormatting sqref="M4:M15">
    <cfRule type="expression" dxfId="479" priority="19">
      <formula>OR(WEEKDAY(M$3)=7,WEEKDAY(M$3)=1)</formula>
    </cfRule>
  </conditionalFormatting>
  <conditionalFormatting sqref="M18:M23">
    <cfRule type="expression" dxfId="478" priority="51">
      <formula>OR(WEEKDAY(M$3)=7,WEEKDAY(M$3)=1)</formula>
    </cfRule>
  </conditionalFormatting>
  <conditionalFormatting sqref="M32:M39">
    <cfRule type="expression" dxfId="477" priority="268">
      <formula>OR(WEEKDAY(M$3)=7,WEEKDAY(M$3)=1)</formula>
    </cfRule>
  </conditionalFormatting>
  <conditionalFormatting sqref="M41:M43">
    <cfRule type="expression" dxfId="476" priority="5">
      <formula>OR(WEEKDAY(M$3)=7,WEEKDAY(M$3)=1)</formula>
    </cfRule>
  </conditionalFormatting>
  <conditionalFormatting sqref="M26:Q29">
    <cfRule type="expression" dxfId="475" priority="49">
      <formula>OR(WEEKDAY(M$3)=7,WEEKDAY(M$3)=1)</formula>
    </cfRule>
  </conditionalFormatting>
  <conditionalFormatting sqref="N15:N16">
    <cfRule type="expression" dxfId="474" priority="44">
      <formula>OR(WEEKDAY(N$3)=7,WEEKDAY(N$3)=1)</formula>
    </cfRule>
  </conditionalFormatting>
  <conditionalFormatting sqref="N18:N21">
    <cfRule type="expression" dxfId="473" priority="554">
      <formula>OR(WEEKDAY(N$3)=7,WEEKDAY(N$3)=1)</formula>
    </cfRule>
  </conditionalFormatting>
  <conditionalFormatting sqref="N5:O14">
    <cfRule type="expression" dxfId="472" priority="16">
      <formula>OR(WEEKDAY(N$3)=7,WEEKDAY(N$3)=1)</formula>
    </cfRule>
  </conditionalFormatting>
  <conditionalFormatting sqref="N22:O22">
    <cfRule type="expression" dxfId="471" priority="283">
      <formula>OR(WEEKDAY(N$3)=7,WEEKDAY(N$3)=1)</formula>
    </cfRule>
  </conditionalFormatting>
  <conditionalFormatting sqref="N32:O43">
    <cfRule type="expression" dxfId="470" priority="45">
      <formula>OR(WEEKDAY(N$3)=7,WEEKDAY(N$3)=1)</formula>
    </cfRule>
  </conditionalFormatting>
  <conditionalFormatting sqref="N23:P23">
    <cfRule type="expression" dxfId="469" priority="281">
      <formula>OR(WEEKDAY(N$3)=7,WEEKDAY(N$3)=1)</formula>
    </cfRule>
  </conditionalFormatting>
  <conditionalFormatting sqref="N4:Q4">
    <cfRule type="expression" dxfId="468" priority="589">
      <formula>OR(WEEKDAY(N$3)=7,WEEKDAY(N$3)=1)</formula>
    </cfRule>
  </conditionalFormatting>
  <conditionalFormatting sqref="O15:O20">
    <cfRule type="expression" dxfId="467" priority="43">
      <formula>OR(WEEKDAY(O$3)=7,WEEKDAY(O$3)=1)</formula>
    </cfRule>
  </conditionalFormatting>
  <conditionalFormatting sqref="P12:P15">
    <cfRule type="expression" dxfId="466" priority="751">
      <formula>OR(WEEKDAY(P$3)=7,WEEKDAY(P$3)=1)</formula>
    </cfRule>
  </conditionalFormatting>
  <conditionalFormatting sqref="P5:Q11">
    <cfRule type="expression" dxfId="465" priority="18">
      <formula>OR(WEEKDAY(P$3)=7,WEEKDAY(P$3)=1)</formula>
    </cfRule>
  </conditionalFormatting>
  <conditionalFormatting sqref="P15:Q15">
    <cfRule type="expression" dxfId="464" priority="756">
      <formula>OR(WEEKDAY(P$3)=7,WEEKDAY(P$3)=1)</formula>
    </cfRule>
  </conditionalFormatting>
  <conditionalFormatting sqref="P18:Q20">
    <cfRule type="expression" dxfId="463" priority="40">
      <formula>OR(WEEKDAY(P$3)=7,WEEKDAY(P$3)=1)</formula>
    </cfRule>
  </conditionalFormatting>
  <conditionalFormatting sqref="P32:Q39">
    <cfRule type="expression" dxfId="462" priority="20">
      <formula>OR(WEEKDAY(P$3)=7,WEEKDAY(P$3)=1)</formula>
    </cfRule>
  </conditionalFormatting>
  <conditionalFormatting sqref="P42:Q43">
    <cfRule type="expression" dxfId="461" priority="205">
      <formula>OR(WEEKDAY(P$3)=7,WEEKDAY(P$3)=1)</formula>
    </cfRule>
  </conditionalFormatting>
  <conditionalFormatting sqref="Q12:Q14">
    <cfRule type="expression" dxfId="460" priority="25">
      <formula>OR(WEEKDAY(Q$3)=7,WEEKDAY(Q$3)=1)</formula>
    </cfRule>
  </conditionalFormatting>
  <conditionalFormatting sqref="Q22:Q23">
    <cfRule type="expression" dxfId="459" priority="271">
      <formula>OR(WEEKDAY(Q$3)=7,WEEKDAY(Q$3)=1)</formula>
    </cfRule>
  </conditionalFormatting>
  <conditionalFormatting sqref="Q41">
    <cfRule type="expression" dxfId="458" priority="4">
      <formula>OR(WEEKDAY(Q$3)=7,WEEKDAY(Q$3)=1)</formula>
    </cfRule>
  </conditionalFormatting>
  <conditionalFormatting sqref="R4:S23">
    <cfRule type="expression" dxfId="457" priority="117">
      <formula>OR(WEEKDAY(R$3)=7,WEEKDAY(R$3)=1)</formula>
    </cfRule>
  </conditionalFormatting>
  <conditionalFormatting sqref="R26:S43">
    <cfRule type="expression" dxfId="456" priority="71">
      <formula>OR(WEEKDAY(R$3)=7,WEEKDAY(R$3)=1)</formula>
    </cfRule>
  </conditionalFormatting>
  <conditionalFormatting sqref="T4:T15">
    <cfRule type="expression" dxfId="455" priority="24">
      <formula>OR(WEEKDAY(T$3)=7,WEEKDAY(T$3)=1)</formula>
    </cfRule>
  </conditionalFormatting>
  <conditionalFormatting sqref="T18:T21">
    <cfRule type="expression" dxfId="454" priority="685">
      <formula>OR(WEEKDAY(T$3)=7,WEEKDAY(T$3)=1)</formula>
    </cfRule>
  </conditionalFormatting>
  <conditionalFormatting sqref="T32:T39">
    <cfRule type="expression" dxfId="453" priority="247">
      <formula>OR(WEEKDAY(T$3)=7,WEEKDAY(T$3)=1)</formula>
    </cfRule>
  </conditionalFormatting>
  <conditionalFormatting sqref="T41:T43">
    <cfRule type="expression" dxfId="452" priority="207">
      <formula>OR(WEEKDAY(T$3)=7,WEEKDAY(T$3)=1)</formula>
    </cfRule>
  </conditionalFormatting>
  <conditionalFormatting sqref="T26:U30">
    <cfRule type="expression" dxfId="451" priority="31">
      <formula>OR(WEEKDAY(T$3)=7,WEEKDAY(T$3)=1)</formula>
    </cfRule>
  </conditionalFormatting>
  <conditionalFormatting sqref="T23:V23">
    <cfRule type="expression" dxfId="450" priority="278">
      <formula>OR(WEEKDAY(T$3)=7,WEEKDAY(T$3)=1)</formula>
    </cfRule>
  </conditionalFormatting>
  <conditionalFormatting sqref="U32:U38">
    <cfRule type="expression" dxfId="449" priority="41">
      <formula>OR(WEEKDAY(U$3)=7,WEEKDAY(U$3)=1)</formula>
    </cfRule>
  </conditionalFormatting>
  <conditionalFormatting sqref="U40:U43">
    <cfRule type="expression" dxfId="448" priority="212">
      <formula>OR(WEEKDAY(U$3)=7,WEEKDAY(U$3)=1)</formula>
    </cfRule>
  </conditionalFormatting>
  <conditionalFormatting sqref="U5:V22">
    <cfRule type="expression" dxfId="447" priority="15">
      <formula>OR(WEEKDAY(U$3)=7,WEEKDAY(U$3)=1)</formula>
    </cfRule>
  </conditionalFormatting>
  <conditionalFormatting sqref="U4:X4">
    <cfRule type="expression" dxfId="446" priority="534">
      <formula>OR(WEEKDAY(U$3)=7,WEEKDAY(U$3)=1)</formula>
    </cfRule>
  </conditionalFormatting>
  <conditionalFormatting sqref="V26">
    <cfRule type="expression" dxfId="445" priority="50">
      <formula>OR(WEEKDAY(V$3)=7,WEEKDAY(V$3)=1)</formula>
    </cfRule>
  </conditionalFormatting>
  <conditionalFormatting sqref="V39:V43">
    <cfRule type="expression" dxfId="444" priority="211">
      <formula>OR(WEEKDAY(V$3)=7,WEEKDAY(V$3)=1)</formula>
    </cfRule>
  </conditionalFormatting>
  <conditionalFormatting sqref="V28:X29">
    <cfRule type="expression" dxfId="443" priority="47">
      <formula>OR(WEEKDAY(V$3)=7,WEEKDAY(V$3)=1)</formula>
    </cfRule>
  </conditionalFormatting>
  <conditionalFormatting sqref="V32:X37">
    <cfRule type="expression" dxfId="442" priority="9">
      <formula>OR(WEEKDAY(V$3)=7,WEEKDAY(V$3)=1)</formula>
    </cfRule>
  </conditionalFormatting>
  <conditionalFormatting sqref="W20">
    <cfRule type="expression" dxfId="441" priority="353">
      <formula>OR(WEEKDAY(W$3)=7,WEEKDAY(W$3)=1)</formula>
    </cfRule>
  </conditionalFormatting>
  <conditionalFormatting sqref="W22:W23">
    <cfRule type="expression" dxfId="440" priority="294">
      <formula>OR(WEEKDAY(W$3)=7,WEEKDAY(W$3)=1)</formula>
    </cfRule>
  </conditionalFormatting>
  <conditionalFormatting sqref="W38:W39">
    <cfRule type="expression" dxfId="439" priority="263">
      <formula>OR(WEEKDAY(W$3)=7,WEEKDAY(W$3)=1)</formula>
    </cfRule>
  </conditionalFormatting>
  <conditionalFormatting sqref="W5:X19">
    <cfRule type="expression" dxfId="438" priority="21">
      <formula>OR(WEEKDAY(W$3)=7,WEEKDAY(W$3)=1)</formula>
    </cfRule>
  </conditionalFormatting>
  <conditionalFormatting sqref="W40:X43">
    <cfRule type="expression" dxfId="437" priority="3">
      <formula>OR(WEEKDAY(W$3)=7,WEEKDAY(W$3)=1)</formula>
    </cfRule>
  </conditionalFormatting>
  <conditionalFormatting sqref="X20:X23">
    <cfRule type="expression" dxfId="436" priority="293">
      <formula>OR(WEEKDAY(X$3)=7,WEEKDAY(X$3)=1)</formula>
    </cfRule>
  </conditionalFormatting>
  <conditionalFormatting sqref="X38">
    <cfRule type="expression" dxfId="435" priority="250">
      <formula>OR(WEEKDAY(X$3)=7,WEEKDAY(X$3)=1)</formula>
    </cfRule>
  </conditionalFormatting>
  <conditionalFormatting sqref="Y26:Z43">
    <cfRule type="expression" dxfId="434" priority="63">
      <formula>OR(WEEKDAY(Y$3)=7,WEEKDAY(Y$3)=1)</formula>
    </cfRule>
  </conditionalFormatting>
  <conditionalFormatting sqref="Y4:AA23">
    <cfRule type="expression" dxfId="433" priority="14">
      <formula>OR(WEEKDAY(Y$3)=7,WEEKDAY(Y$3)=1)</formula>
    </cfRule>
  </conditionalFormatting>
  <conditionalFormatting sqref="AA32:AC43">
    <cfRule type="expression" dxfId="432" priority="1">
      <formula>OR(WEEKDAY(AA$3)=7,WEEKDAY(AA$3)=1)</formula>
    </cfRule>
  </conditionalFormatting>
  <conditionalFormatting sqref="AA26:AE29">
    <cfRule type="expression" dxfId="431" priority="48">
      <formula>OR(WEEKDAY(AA$3)=7,WEEKDAY(AA$3)=1)</formula>
    </cfRule>
  </conditionalFormatting>
  <conditionalFormatting sqref="AB4:AB12">
    <cfRule type="expression" dxfId="430" priority="38">
      <formula>OR(WEEKDAY(AB$3)=7,WEEKDAY(AB$3)=1)</formula>
    </cfRule>
  </conditionalFormatting>
  <conditionalFormatting sqref="AB14:AB21">
    <cfRule type="expression" dxfId="429" priority="444">
      <formula>OR(WEEKDAY(AB$3)=7,WEEKDAY(AB$3)=1)</formula>
    </cfRule>
  </conditionalFormatting>
  <conditionalFormatting sqref="AB22:AD23">
    <cfRule type="expression" dxfId="428" priority="275">
      <formula>OR(WEEKDAY(AB$3)=7,WEEKDAY(AB$3)=1)</formula>
    </cfRule>
  </conditionalFormatting>
  <conditionalFormatting sqref="AC4:AC14">
    <cfRule type="expression" dxfId="427" priority="8">
      <formula>OR(WEEKDAY(AC$3)=7,WEEKDAY(AC$3)=1)</formula>
    </cfRule>
  </conditionalFormatting>
  <conditionalFormatting sqref="AC16:AC21">
    <cfRule type="expression" dxfId="426" priority="10">
      <formula>OR(WEEKDAY(AC$3)=7,WEEKDAY(AC$3)=1)</formula>
    </cfRule>
  </conditionalFormatting>
  <conditionalFormatting sqref="AD5:AD8">
    <cfRule type="expression" dxfId="425" priority="352">
      <formula>OR(WEEKDAY(AD$3)=7,WEEKDAY(AD$3)=1)</formula>
    </cfRule>
  </conditionalFormatting>
  <conditionalFormatting sqref="AD20">
    <cfRule type="expression" dxfId="424" priority="346">
      <formula>OR(WEEKDAY(AD$3)=7,WEEKDAY(AD$3)=1)</formula>
    </cfRule>
  </conditionalFormatting>
  <conditionalFormatting sqref="AD39">
    <cfRule type="expression" dxfId="423" priority="262">
      <formula>OR(WEEKDAY(AD$3)=7,WEEKDAY(AD$3)=1)</formula>
    </cfRule>
  </conditionalFormatting>
  <conditionalFormatting sqref="AD42">
    <cfRule type="expression" dxfId="422" priority="221">
      <formula>OR(WEEKDAY(AD$3)=7,WEEKDAY(AD$3)=1)</formula>
    </cfRule>
  </conditionalFormatting>
  <conditionalFormatting sqref="AD4:AE4 AH4:AH7">
    <cfRule type="expression" dxfId="421" priority="767">
      <formula>OR(WEEKDAY(AD$3)=7,WEEKDAY(AD$3)=1)</formula>
    </cfRule>
  </conditionalFormatting>
  <conditionalFormatting sqref="AD10:AE19">
    <cfRule type="expression" dxfId="420" priority="717">
      <formula>OR(WEEKDAY(AD$3)=7,WEEKDAY(AD$3)=1)</formula>
    </cfRule>
  </conditionalFormatting>
  <conditionalFormatting sqref="AD32:AE37">
    <cfRule type="expression" dxfId="419" priority="37">
      <formula>OR(WEEKDAY(AD$3)=7,WEEKDAY(AD$3)=1)</formula>
    </cfRule>
  </conditionalFormatting>
  <conditionalFormatting sqref="AD40:AE41">
    <cfRule type="expression" dxfId="418" priority="241">
      <formula>OR(WEEKDAY(AD$3)=7,WEEKDAY(AD$3)=1)</formula>
    </cfRule>
  </conditionalFormatting>
  <conditionalFormatting sqref="AE5:AE9">
    <cfRule type="expression" dxfId="417" priority="39">
      <formula>OR(WEEKDAY(AE$3)=7,WEEKDAY(AE$3)=1)</formula>
    </cfRule>
  </conditionalFormatting>
  <conditionalFormatting sqref="AE20:AE23">
    <cfRule type="expression" dxfId="416" priority="291">
      <formula>OR(WEEKDAY(AE$3)=7,WEEKDAY(AE$3)=1)</formula>
    </cfRule>
  </conditionalFormatting>
  <conditionalFormatting sqref="AE31">
    <cfRule type="expression" dxfId="415" priority="636">
      <formula>OR(WEEKDAY(AE$3)=7,WEEKDAY(AE$3)=1)</formula>
    </cfRule>
  </conditionalFormatting>
  <conditionalFormatting sqref="AE38:AE39">
    <cfRule type="expression" dxfId="414" priority="246">
      <formula>OR(WEEKDAY(AE$3)=7,WEEKDAY(AE$3)=1)</formula>
    </cfRule>
  </conditionalFormatting>
  <conditionalFormatting sqref="AF4:AG23">
    <cfRule type="expression" dxfId="413" priority="89">
      <formula>OR(WEEKDAY(AF$3)=7,WEEKDAY(AF$3)=1)</formula>
    </cfRule>
  </conditionalFormatting>
  <conditionalFormatting sqref="AF26:AG43">
    <cfRule type="expression" dxfId="412" priority="55">
      <formula>OR(WEEKDAY(AF$3)=7,WEEKDAY(AF$3)=1)</formula>
    </cfRule>
  </conditionalFormatting>
  <conditionalFormatting sqref="AH9:AH10">
    <cfRule type="expression" dxfId="411" priority="312">
      <formula>OR(WEEKDAY(AH$3)=7,WEEKDAY(AH$3)=1)</formula>
    </cfRule>
  </conditionalFormatting>
  <conditionalFormatting sqref="AH18:AH20">
    <cfRule type="expression" dxfId="410" priority="35">
      <formula>OR(WEEKDAY(AH$3)=7,WEEKDAY(AH$3)=1)</formula>
    </cfRule>
  </conditionalFormatting>
  <conditionalFormatting sqref="AH23">
    <cfRule type="expression" dxfId="409" priority="269">
      <formula>OR(WEEKDAY(AH$3)=7,WEEKDAY(AH$3)=1)</formula>
    </cfRule>
  </conditionalFormatting>
  <conditionalFormatting sqref="AH25">
    <cfRule type="expression" dxfId="408" priority="27">
      <formula>OR(WEEKDAY(AH$3)=7,WEEKDAY(AH$3)=1)</formula>
    </cfRule>
  </conditionalFormatting>
  <conditionalFormatting sqref="AH27">
    <cfRule type="expression" dxfId="407" priority="343">
      <formula>OR(WEEKDAY(AH$3)=7,WEEKDAY(AH$3)=1)</formula>
    </cfRule>
  </conditionalFormatting>
  <conditionalFormatting sqref="AH31:AH33">
    <cfRule type="expression" dxfId="406" priority="34">
      <formula>OR(WEEKDAY(AH$3)=7,WEEKDAY(AH$3)=1)</formula>
    </cfRule>
  </conditionalFormatting>
  <conditionalFormatting sqref="AH42">
    <cfRule type="expression" dxfId="405" priority="33">
      <formula>OR(WEEKDAY(AH$3)=7,WEEKDAY(AH$3)=1)</formula>
    </cfRule>
  </conditionalFormatting>
  <pageMargins left="0.25" right="0.25" top="0.75" bottom="0.75" header="0.3" footer="0.3"/>
  <pageSetup paperSize="9" scale="50" fitToHeight="0" orientation="landscape" cellComments="asDisplayed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8D36B-A318-440C-9560-59F45821715C}">
  <sheetPr>
    <pageSetUpPr fitToPage="1"/>
  </sheetPr>
  <dimension ref="A1:BP44"/>
  <sheetViews>
    <sheetView topLeftCell="B1" zoomScale="85" zoomScaleNormal="85" workbookViewId="0">
      <pane xSplit="2" ySplit="2" topLeftCell="D12" activePane="bottomRight" state="frozen"/>
      <selection activeCell="B1" sqref="B1"/>
      <selection pane="topRight" activeCell="D1" sqref="D1"/>
      <selection pane="bottomLeft" activeCell="B3" sqref="B3"/>
      <selection pane="bottomRight" activeCell="O28" sqref="O28:O29"/>
    </sheetView>
  </sheetViews>
  <sheetFormatPr defaultColWidth="9" defaultRowHeight="15.6" x14ac:dyDescent="0.4"/>
  <cols>
    <col min="1" max="1" width="17.19921875" style="27" customWidth="1"/>
    <col min="2" max="2" width="5.8984375" style="27" customWidth="1"/>
    <col min="3" max="3" width="13" style="35" customWidth="1"/>
    <col min="4" max="4" width="7.3984375" style="35" customWidth="1"/>
    <col min="5" max="35" width="5.3984375" style="27" customWidth="1"/>
    <col min="36" max="38" width="9" style="27" customWidth="1"/>
    <col min="39" max="39" width="9.59765625" style="36" customWidth="1"/>
    <col min="40" max="40" width="9" style="27"/>
    <col min="41" max="41" width="10" style="27" bestFit="1" customWidth="1"/>
    <col min="42" max="16384" width="9" style="27"/>
  </cols>
  <sheetData>
    <row r="1" spans="1:68" s="15" customFormat="1" ht="36.75" customHeight="1" thickBot="1" x14ac:dyDescent="0.45">
      <c r="A1" s="130">
        <v>45078</v>
      </c>
      <c r="B1" s="130"/>
      <c r="C1" s="131"/>
      <c r="D1" s="132">
        <v>45839</v>
      </c>
      <c r="E1" s="133"/>
      <c r="F1" s="133"/>
      <c r="G1" s="133"/>
      <c r="H1" s="133"/>
      <c r="I1" s="13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M1" s="16"/>
    </row>
    <row r="2" spans="1:68" s="23" customFormat="1" ht="21.75" customHeight="1" x14ac:dyDescent="0.4">
      <c r="A2" s="192" t="s">
        <v>37</v>
      </c>
      <c r="B2" s="135" t="s">
        <v>38</v>
      </c>
      <c r="C2" s="139" t="s">
        <v>39</v>
      </c>
      <c r="D2" s="64" t="s">
        <v>40</v>
      </c>
      <c r="E2" s="18">
        <f>D1</f>
        <v>45839</v>
      </c>
      <c r="F2" s="19">
        <f>E2+1</f>
        <v>45840</v>
      </c>
      <c r="G2" s="19">
        <f t="shared" ref="G2:AI2" si="0">F2+1</f>
        <v>45841</v>
      </c>
      <c r="H2" s="19">
        <f t="shared" si="0"/>
        <v>45842</v>
      </c>
      <c r="I2" s="19">
        <f t="shared" si="0"/>
        <v>45843</v>
      </c>
      <c r="J2" s="19">
        <f t="shared" si="0"/>
        <v>45844</v>
      </c>
      <c r="K2" s="19">
        <f t="shared" si="0"/>
        <v>45845</v>
      </c>
      <c r="L2" s="19">
        <f t="shared" si="0"/>
        <v>45846</v>
      </c>
      <c r="M2" s="19">
        <f t="shared" si="0"/>
        <v>45847</v>
      </c>
      <c r="N2" s="19">
        <f t="shared" si="0"/>
        <v>45848</v>
      </c>
      <c r="O2" s="19">
        <f t="shared" si="0"/>
        <v>45849</v>
      </c>
      <c r="P2" s="19">
        <f t="shared" si="0"/>
        <v>45850</v>
      </c>
      <c r="Q2" s="19">
        <f t="shared" si="0"/>
        <v>45851</v>
      </c>
      <c r="R2" s="19">
        <f t="shared" si="0"/>
        <v>45852</v>
      </c>
      <c r="S2" s="18">
        <f t="shared" si="0"/>
        <v>45853</v>
      </c>
      <c r="T2" s="19">
        <f t="shared" si="0"/>
        <v>45854</v>
      </c>
      <c r="U2" s="19">
        <f t="shared" si="0"/>
        <v>45855</v>
      </c>
      <c r="V2" s="19">
        <f t="shared" si="0"/>
        <v>45856</v>
      </c>
      <c r="W2" s="19">
        <f t="shared" si="0"/>
        <v>45857</v>
      </c>
      <c r="X2" s="19">
        <f t="shared" si="0"/>
        <v>45858</v>
      </c>
      <c r="Y2" s="19">
        <f t="shared" si="0"/>
        <v>45859</v>
      </c>
      <c r="Z2" s="19">
        <f t="shared" si="0"/>
        <v>45860</v>
      </c>
      <c r="AA2" s="20">
        <f t="shared" si="0"/>
        <v>45861</v>
      </c>
      <c r="AB2" s="20">
        <f t="shared" si="0"/>
        <v>45862</v>
      </c>
      <c r="AC2" s="18">
        <f>AB2+1</f>
        <v>45863</v>
      </c>
      <c r="AD2" s="19">
        <f t="shared" si="0"/>
        <v>45864</v>
      </c>
      <c r="AE2" s="19">
        <f t="shared" si="0"/>
        <v>45865</v>
      </c>
      <c r="AF2" s="19">
        <f t="shared" si="0"/>
        <v>45866</v>
      </c>
      <c r="AG2" s="19">
        <f t="shared" si="0"/>
        <v>45867</v>
      </c>
      <c r="AH2" s="19">
        <f t="shared" si="0"/>
        <v>45868</v>
      </c>
      <c r="AI2" s="19">
        <f t="shared" si="0"/>
        <v>45869</v>
      </c>
      <c r="AJ2" s="141" t="s">
        <v>41</v>
      </c>
      <c r="AK2" s="145" t="s">
        <v>42</v>
      </c>
      <c r="AL2" s="147" t="s">
        <v>43</v>
      </c>
      <c r="AM2" s="149" t="s">
        <v>44</v>
      </c>
      <c r="AN2" s="151" t="s">
        <v>45</v>
      </c>
      <c r="AO2" s="153" t="s">
        <v>46</v>
      </c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</row>
    <row r="3" spans="1:68" s="24" customFormat="1" ht="18" thickBot="1" x14ac:dyDescent="0.45">
      <c r="A3" s="193"/>
      <c r="B3" s="136"/>
      <c r="C3" s="140"/>
      <c r="D3" s="65" t="s">
        <v>47</v>
      </c>
      <c r="E3" s="39">
        <f>E2</f>
        <v>45839</v>
      </c>
      <c r="F3" s="40">
        <f t="shared" ref="F3:AI3" si="1">F2</f>
        <v>45840</v>
      </c>
      <c r="G3" s="40">
        <f t="shared" si="1"/>
        <v>45841</v>
      </c>
      <c r="H3" s="40">
        <f t="shared" si="1"/>
        <v>45842</v>
      </c>
      <c r="I3" s="40">
        <f t="shared" si="1"/>
        <v>45843</v>
      </c>
      <c r="J3" s="40">
        <f t="shared" si="1"/>
        <v>45844</v>
      </c>
      <c r="K3" s="40">
        <f t="shared" si="1"/>
        <v>45845</v>
      </c>
      <c r="L3" s="40">
        <f t="shared" si="1"/>
        <v>45846</v>
      </c>
      <c r="M3" s="40">
        <f t="shared" si="1"/>
        <v>45847</v>
      </c>
      <c r="N3" s="40">
        <f t="shared" si="1"/>
        <v>45848</v>
      </c>
      <c r="O3" s="40">
        <f t="shared" si="1"/>
        <v>45849</v>
      </c>
      <c r="P3" s="40">
        <f t="shared" si="1"/>
        <v>45850</v>
      </c>
      <c r="Q3" s="40">
        <f t="shared" si="1"/>
        <v>45851</v>
      </c>
      <c r="R3" s="40">
        <f t="shared" si="1"/>
        <v>45852</v>
      </c>
      <c r="S3" s="39">
        <f t="shared" si="1"/>
        <v>45853</v>
      </c>
      <c r="T3" s="40">
        <f t="shared" si="1"/>
        <v>45854</v>
      </c>
      <c r="U3" s="40">
        <f t="shared" si="1"/>
        <v>45855</v>
      </c>
      <c r="V3" s="40">
        <f t="shared" si="1"/>
        <v>45856</v>
      </c>
      <c r="W3" s="40">
        <f t="shared" si="1"/>
        <v>45857</v>
      </c>
      <c r="X3" s="40">
        <f t="shared" si="1"/>
        <v>45858</v>
      </c>
      <c r="Y3" s="40">
        <f t="shared" si="1"/>
        <v>45859</v>
      </c>
      <c r="Z3" s="40">
        <f t="shared" si="1"/>
        <v>45860</v>
      </c>
      <c r="AA3" s="40">
        <f t="shared" si="1"/>
        <v>45861</v>
      </c>
      <c r="AB3" s="40">
        <f t="shared" si="1"/>
        <v>45862</v>
      </c>
      <c r="AC3" s="40">
        <f t="shared" si="1"/>
        <v>45863</v>
      </c>
      <c r="AD3" s="40">
        <f t="shared" si="1"/>
        <v>45864</v>
      </c>
      <c r="AE3" s="40">
        <f t="shared" si="1"/>
        <v>45865</v>
      </c>
      <c r="AF3" s="40">
        <f t="shared" si="1"/>
        <v>45866</v>
      </c>
      <c r="AG3" s="40">
        <f t="shared" si="1"/>
        <v>45867</v>
      </c>
      <c r="AH3" s="40">
        <f t="shared" si="1"/>
        <v>45868</v>
      </c>
      <c r="AI3" s="40">
        <f t="shared" si="1"/>
        <v>45869</v>
      </c>
      <c r="AJ3" s="142"/>
      <c r="AK3" s="146"/>
      <c r="AL3" s="148"/>
      <c r="AM3" s="150"/>
      <c r="AN3" s="152"/>
      <c r="AO3" s="154"/>
    </row>
    <row r="4" spans="1:68" ht="21.75" customHeight="1" thickBot="1" x14ac:dyDescent="0.45">
      <c r="A4" s="155" t="s">
        <v>48</v>
      </c>
      <c r="B4" s="190" t="s">
        <v>67</v>
      </c>
      <c r="C4" s="159" t="s">
        <v>50</v>
      </c>
      <c r="D4" s="33" t="s">
        <v>51</v>
      </c>
      <c r="E4" s="34" t="s">
        <v>538</v>
      </c>
      <c r="F4" s="34" t="s">
        <v>121</v>
      </c>
      <c r="G4" s="34" t="s">
        <v>318</v>
      </c>
      <c r="H4" s="34" t="s">
        <v>318</v>
      </c>
      <c r="I4" s="34" t="s">
        <v>70</v>
      </c>
      <c r="J4" s="34" t="s">
        <v>70</v>
      </c>
      <c r="K4" s="34" t="s">
        <v>233</v>
      </c>
      <c r="L4" s="34" t="s">
        <v>121</v>
      </c>
      <c r="M4" s="34" t="s">
        <v>233</v>
      </c>
      <c r="N4" s="34" t="s">
        <v>121</v>
      </c>
      <c r="O4" s="34" t="s">
        <v>236</v>
      </c>
      <c r="P4" s="34" t="s">
        <v>70</v>
      </c>
      <c r="Q4" s="34" t="s">
        <v>70</v>
      </c>
      <c r="R4" s="34" t="s">
        <v>384</v>
      </c>
      <c r="S4" s="34" t="s">
        <v>149</v>
      </c>
      <c r="T4" s="34" t="s">
        <v>236</v>
      </c>
      <c r="U4" s="34" t="s">
        <v>505</v>
      </c>
      <c r="V4" s="34" t="s">
        <v>121</v>
      </c>
      <c r="W4" s="34" t="s">
        <v>70</v>
      </c>
      <c r="X4" s="34" t="s">
        <v>70</v>
      </c>
      <c r="Y4" s="34" t="s">
        <v>211</v>
      </c>
      <c r="Z4" s="34" t="s">
        <v>318</v>
      </c>
      <c r="AA4" s="34" t="s">
        <v>156</v>
      </c>
      <c r="AB4" s="34" t="s">
        <v>121</v>
      </c>
      <c r="AC4" s="34" t="s">
        <v>318</v>
      </c>
      <c r="AD4" s="34" t="s">
        <v>70</v>
      </c>
      <c r="AE4" s="34" t="s">
        <v>70</v>
      </c>
      <c r="AF4" s="247" t="s">
        <v>520</v>
      </c>
      <c r="AG4" s="248"/>
      <c r="AH4" s="249"/>
      <c r="AI4" s="34" t="s">
        <v>180</v>
      </c>
      <c r="AJ4" s="160" t="s">
        <v>527</v>
      </c>
      <c r="AK4" s="161"/>
      <c r="AL4" s="108"/>
      <c r="AM4" s="110">
        <v>3</v>
      </c>
      <c r="AN4" s="111">
        <f>(E4+F4+G4+H4+K4+L4+M4+N4+O4+R4+S4+T4+U4+V4+Y4+Z4+AA4+AB4+AC4+AI4)/20</f>
        <v>0.32777777777777783</v>
      </c>
      <c r="AO4" s="105">
        <f>(E5+F5+G5+H5+K5+L5+M5+N5+O5+R5+S5+T5+U5+V5+Y5+Z5+AB5+AC5+AI5)/19</f>
        <v>0.78541666666666654</v>
      </c>
      <c r="AQ4" s="24"/>
    </row>
    <row r="5" spans="1:68" ht="21.75" customHeight="1" thickTop="1" thickBot="1" x14ac:dyDescent="0.45">
      <c r="A5" s="156"/>
      <c r="B5" s="186"/>
      <c r="C5" s="120"/>
      <c r="D5" s="25" t="s">
        <v>52</v>
      </c>
      <c r="E5" s="26" t="s">
        <v>146</v>
      </c>
      <c r="F5" s="26" t="s">
        <v>150</v>
      </c>
      <c r="G5" s="26" t="s">
        <v>87</v>
      </c>
      <c r="H5" s="26" t="s">
        <v>150</v>
      </c>
      <c r="I5" s="26" t="s">
        <v>70</v>
      </c>
      <c r="J5" s="26" t="s">
        <v>70</v>
      </c>
      <c r="K5" s="26" t="s">
        <v>87</v>
      </c>
      <c r="L5" s="26" t="s">
        <v>158</v>
      </c>
      <c r="M5" s="26" t="s">
        <v>165</v>
      </c>
      <c r="N5" s="26" t="s">
        <v>309</v>
      </c>
      <c r="O5" s="26" t="s">
        <v>165</v>
      </c>
      <c r="P5" s="26" t="s">
        <v>70</v>
      </c>
      <c r="Q5" s="26" t="s">
        <v>70</v>
      </c>
      <c r="R5" s="26" t="s">
        <v>123</v>
      </c>
      <c r="S5" s="26" t="s">
        <v>98</v>
      </c>
      <c r="T5" s="26" t="s">
        <v>81</v>
      </c>
      <c r="U5" s="26" t="s">
        <v>87</v>
      </c>
      <c r="V5" s="26" t="s">
        <v>309</v>
      </c>
      <c r="W5" s="26" t="s">
        <v>70</v>
      </c>
      <c r="X5" s="26" t="s">
        <v>70</v>
      </c>
      <c r="Y5" s="26" t="s">
        <v>146</v>
      </c>
      <c r="Z5" s="26" t="s">
        <v>150</v>
      </c>
      <c r="AA5" s="26" t="s">
        <v>487</v>
      </c>
      <c r="AB5" s="26" t="s">
        <v>90</v>
      </c>
      <c r="AC5" s="26" t="s">
        <v>154</v>
      </c>
      <c r="AD5" s="26" t="s">
        <v>70</v>
      </c>
      <c r="AE5" s="26" t="s">
        <v>70</v>
      </c>
      <c r="AF5" s="228"/>
      <c r="AG5" s="229"/>
      <c r="AH5" s="230"/>
      <c r="AI5" s="26" t="s">
        <v>169</v>
      </c>
      <c r="AJ5" s="127"/>
      <c r="AK5" s="162"/>
      <c r="AL5" s="194"/>
      <c r="AM5" s="195"/>
      <c r="AN5" s="111"/>
      <c r="AO5" s="181"/>
      <c r="AP5" s="28"/>
    </row>
    <row r="6" spans="1:68" ht="21.75" customHeight="1" thickTop="1" thickBot="1" x14ac:dyDescent="0.45">
      <c r="A6" s="156"/>
      <c r="B6" s="186" t="s">
        <v>49</v>
      </c>
      <c r="C6" s="120" t="s">
        <v>424</v>
      </c>
      <c r="D6" s="25" t="s">
        <v>51</v>
      </c>
      <c r="E6" s="26" t="s">
        <v>134</v>
      </c>
      <c r="F6" s="26" t="s">
        <v>134</v>
      </c>
      <c r="G6" s="26" t="s">
        <v>179</v>
      </c>
      <c r="H6" s="26" t="s">
        <v>119</v>
      </c>
      <c r="I6" s="26" t="s">
        <v>70</v>
      </c>
      <c r="J6" s="26" t="s">
        <v>70</v>
      </c>
      <c r="K6" s="26" t="s">
        <v>74</v>
      </c>
      <c r="L6" s="26" t="s">
        <v>76</v>
      </c>
      <c r="M6" s="26" t="s">
        <v>74</v>
      </c>
      <c r="N6" s="26" t="s">
        <v>179</v>
      </c>
      <c r="O6" s="26" t="s">
        <v>119</v>
      </c>
      <c r="P6" s="26" t="s">
        <v>70</v>
      </c>
      <c r="Q6" s="26" t="s">
        <v>70</v>
      </c>
      <c r="R6" s="26" t="s">
        <v>95</v>
      </c>
      <c r="S6" s="26" t="s">
        <v>93</v>
      </c>
      <c r="T6" s="26" t="s">
        <v>100</v>
      </c>
      <c r="U6" s="26" t="s">
        <v>76</v>
      </c>
      <c r="V6" s="26" t="s">
        <v>96</v>
      </c>
      <c r="W6" s="26" t="s">
        <v>70</v>
      </c>
      <c r="X6" s="26" t="s">
        <v>70</v>
      </c>
      <c r="Y6" s="26" t="s">
        <v>119</v>
      </c>
      <c r="Z6" s="26" t="s">
        <v>179</v>
      </c>
      <c r="AA6" s="26" t="s">
        <v>119</v>
      </c>
      <c r="AB6" s="26" t="s">
        <v>94</v>
      </c>
      <c r="AC6" s="26" t="s">
        <v>69</v>
      </c>
      <c r="AD6" s="26" t="s">
        <v>70</v>
      </c>
      <c r="AE6" s="26" t="s">
        <v>70</v>
      </c>
      <c r="AF6" s="29" t="s">
        <v>232</v>
      </c>
      <c r="AG6" s="26" t="s">
        <v>179</v>
      </c>
      <c r="AH6" s="26" t="s">
        <v>94</v>
      </c>
      <c r="AI6" s="26" t="s">
        <v>79</v>
      </c>
      <c r="AJ6" s="160"/>
      <c r="AK6" s="106" t="s">
        <v>282</v>
      </c>
      <c r="AL6" s="194" t="s">
        <v>282</v>
      </c>
      <c r="AM6" s="195"/>
      <c r="AN6" s="111">
        <f>(E6+F6+G6+H6+K6+L6+M6+N6+O6+R6+S6+T6+U6+V6+Y6+Z6+AA6+AB6+AC6+AF6+AG6+AH6+AI6)/23</f>
        <v>0.36126207729468601</v>
      </c>
      <c r="AO6" s="181">
        <f>(E7+F7+G7+H7+K7+L7+M7+N7+O7+R7+S7+T7+U7+V7+Y7+Z7+AB7+AC7+AF7+AG7+AH7+AI7)/22</f>
        <v>0.79605429292929297</v>
      </c>
      <c r="AP6" s="28"/>
    </row>
    <row r="7" spans="1:68" ht="21.75" customHeight="1" thickTop="1" thickBot="1" x14ac:dyDescent="0.45">
      <c r="A7" s="156"/>
      <c r="B7" s="186"/>
      <c r="C7" s="120"/>
      <c r="D7" s="25" t="s">
        <v>52</v>
      </c>
      <c r="E7" s="26" t="s">
        <v>105</v>
      </c>
      <c r="F7" s="26" t="s">
        <v>144</v>
      </c>
      <c r="G7" s="26" t="s">
        <v>101</v>
      </c>
      <c r="H7" s="26" t="s">
        <v>101</v>
      </c>
      <c r="I7" s="26" t="s">
        <v>70</v>
      </c>
      <c r="J7" s="26" t="s">
        <v>70</v>
      </c>
      <c r="K7" s="26" t="s">
        <v>208</v>
      </c>
      <c r="L7" s="26" t="s">
        <v>309</v>
      </c>
      <c r="M7" s="26" t="s">
        <v>401</v>
      </c>
      <c r="N7" s="26" t="s">
        <v>117</v>
      </c>
      <c r="O7" s="26" t="s">
        <v>151</v>
      </c>
      <c r="P7" s="26" t="s">
        <v>70</v>
      </c>
      <c r="Q7" s="26" t="s">
        <v>70</v>
      </c>
      <c r="R7" s="26" t="s">
        <v>132</v>
      </c>
      <c r="S7" s="26" t="s">
        <v>339</v>
      </c>
      <c r="T7" s="26" t="s">
        <v>306</v>
      </c>
      <c r="U7" s="26" t="s">
        <v>158</v>
      </c>
      <c r="V7" s="26" t="s">
        <v>87</v>
      </c>
      <c r="W7" s="26" t="s">
        <v>70</v>
      </c>
      <c r="X7" s="26" t="s">
        <v>70</v>
      </c>
      <c r="Y7" s="26" t="s">
        <v>539</v>
      </c>
      <c r="Z7" s="26" t="s">
        <v>150</v>
      </c>
      <c r="AA7" s="26" t="s">
        <v>487</v>
      </c>
      <c r="AB7" s="26" t="s">
        <v>90</v>
      </c>
      <c r="AC7" s="26" t="s">
        <v>151</v>
      </c>
      <c r="AD7" s="26" t="s">
        <v>70</v>
      </c>
      <c r="AE7" s="26" t="s">
        <v>70</v>
      </c>
      <c r="AF7" s="26" t="s">
        <v>169</v>
      </c>
      <c r="AG7" s="26" t="s">
        <v>123</v>
      </c>
      <c r="AH7" s="26" t="s">
        <v>165</v>
      </c>
      <c r="AI7" s="26" t="s">
        <v>169</v>
      </c>
      <c r="AJ7" s="127"/>
      <c r="AK7" s="106"/>
      <c r="AL7" s="194"/>
      <c r="AM7" s="195"/>
      <c r="AN7" s="111"/>
      <c r="AO7" s="181"/>
      <c r="AP7" s="28"/>
    </row>
    <row r="8" spans="1:68" ht="21.75" customHeight="1" thickTop="1" thickBot="1" x14ac:dyDescent="0.45">
      <c r="A8" s="156"/>
      <c r="B8" s="186" t="s">
        <v>53</v>
      </c>
      <c r="C8" s="120" t="s">
        <v>54</v>
      </c>
      <c r="D8" s="25" t="s">
        <v>51</v>
      </c>
      <c r="E8" s="26" t="s">
        <v>149</v>
      </c>
      <c r="F8" s="26" t="s">
        <v>122</v>
      </c>
      <c r="G8" s="26" t="s">
        <v>149</v>
      </c>
      <c r="H8" s="26" t="s">
        <v>149</v>
      </c>
      <c r="I8" s="26" t="s">
        <v>70</v>
      </c>
      <c r="J8" s="26" t="s">
        <v>70</v>
      </c>
      <c r="K8" s="26" t="s">
        <v>156</v>
      </c>
      <c r="L8" s="26" t="s">
        <v>162</v>
      </c>
      <c r="M8" s="26" t="s">
        <v>156</v>
      </c>
      <c r="N8" s="26" t="s">
        <v>121</v>
      </c>
      <c r="O8" s="26" t="s">
        <v>120</v>
      </c>
      <c r="P8" s="26" t="s">
        <v>70</v>
      </c>
      <c r="Q8" s="26" t="s">
        <v>70</v>
      </c>
      <c r="R8" s="26" t="s">
        <v>156</v>
      </c>
      <c r="S8" s="26" t="s">
        <v>161</v>
      </c>
      <c r="T8" s="26" t="s">
        <v>121</v>
      </c>
      <c r="U8" s="26" t="s">
        <v>149</v>
      </c>
      <c r="V8" s="26" t="s">
        <v>162</v>
      </c>
      <c r="W8" s="26" t="s">
        <v>70</v>
      </c>
      <c r="X8" s="26" t="s">
        <v>70</v>
      </c>
      <c r="Y8" s="26" t="s">
        <v>156</v>
      </c>
      <c r="Z8" s="26" t="s">
        <v>160</v>
      </c>
      <c r="AA8" s="26" t="s">
        <v>122</v>
      </c>
      <c r="AB8" s="26" t="s">
        <v>162</v>
      </c>
      <c r="AC8" s="26" t="s">
        <v>149</v>
      </c>
      <c r="AD8" s="26" t="s">
        <v>70</v>
      </c>
      <c r="AE8" s="26" t="s">
        <v>70</v>
      </c>
      <c r="AF8" s="29" t="s">
        <v>533</v>
      </c>
      <c r="AG8" s="26" t="s">
        <v>149</v>
      </c>
      <c r="AH8" s="26" t="s">
        <v>121</v>
      </c>
      <c r="AI8" s="26" t="s">
        <v>149</v>
      </c>
      <c r="AJ8" s="112"/>
      <c r="AK8" s="106" t="s">
        <v>282</v>
      </c>
      <c r="AL8" s="194"/>
      <c r="AM8" s="195"/>
      <c r="AN8" s="111">
        <f>(E8+F8+G8+H8+K8+L8+M8+N8+O8+R8+S8+T8+U8+V8+Y8+Z8+AA8+AB8+AC8+AF8+AG8+AH8+AI8)/23</f>
        <v>0.37276570048309177</v>
      </c>
      <c r="AO8" s="181">
        <f>(E9+F9+G9+H9+K9+L9+M9+N9+O9+R9+S9+T9+U9+V9+Y9+Z9+AB9+AC9+AF9+AG9+AH9+AI9)/22</f>
        <v>0.76051136363636374</v>
      </c>
    </row>
    <row r="9" spans="1:68" ht="21.75" customHeight="1" thickTop="1" thickBot="1" x14ac:dyDescent="0.45">
      <c r="A9" s="156"/>
      <c r="B9" s="186"/>
      <c r="C9" s="120"/>
      <c r="D9" s="25" t="s">
        <v>52</v>
      </c>
      <c r="E9" s="26" t="s">
        <v>184</v>
      </c>
      <c r="F9" s="26" t="s">
        <v>200</v>
      </c>
      <c r="G9" s="26" t="s">
        <v>200</v>
      </c>
      <c r="H9" s="26" t="s">
        <v>168</v>
      </c>
      <c r="I9" s="26" t="s">
        <v>70</v>
      </c>
      <c r="J9" s="26" t="s">
        <v>70</v>
      </c>
      <c r="K9" s="26" t="s">
        <v>292</v>
      </c>
      <c r="L9" s="26" t="s">
        <v>434</v>
      </c>
      <c r="M9" s="26" t="s">
        <v>164</v>
      </c>
      <c r="N9" s="26" t="s">
        <v>102</v>
      </c>
      <c r="O9" s="26" t="s">
        <v>240</v>
      </c>
      <c r="P9" s="26" t="s">
        <v>70</v>
      </c>
      <c r="Q9" s="26" t="s">
        <v>70</v>
      </c>
      <c r="R9" s="26" t="s">
        <v>84</v>
      </c>
      <c r="S9" s="26" t="s">
        <v>234</v>
      </c>
      <c r="T9" s="26" t="s">
        <v>292</v>
      </c>
      <c r="U9" s="26" t="s">
        <v>80</v>
      </c>
      <c r="V9" s="26" t="s">
        <v>534</v>
      </c>
      <c r="W9" s="26" t="s">
        <v>70</v>
      </c>
      <c r="X9" s="26" t="s">
        <v>70</v>
      </c>
      <c r="Y9" s="26" t="s">
        <v>292</v>
      </c>
      <c r="Z9" s="26" t="s">
        <v>229</v>
      </c>
      <c r="AA9" s="26" t="s">
        <v>218</v>
      </c>
      <c r="AB9" s="26" t="s">
        <v>535</v>
      </c>
      <c r="AC9" s="26" t="s">
        <v>534</v>
      </c>
      <c r="AD9" s="26" t="s">
        <v>70</v>
      </c>
      <c r="AE9" s="26" t="s">
        <v>70</v>
      </c>
      <c r="AF9" s="26" t="s">
        <v>361</v>
      </c>
      <c r="AG9" s="26" t="s">
        <v>102</v>
      </c>
      <c r="AH9" s="26" t="s">
        <v>536</v>
      </c>
      <c r="AI9" s="26" t="s">
        <v>473</v>
      </c>
      <c r="AJ9" s="112"/>
      <c r="AK9" s="106"/>
      <c r="AL9" s="194"/>
      <c r="AM9" s="195"/>
      <c r="AN9" s="111"/>
      <c r="AO9" s="181"/>
    </row>
    <row r="10" spans="1:68" ht="21.75" customHeight="1" thickTop="1" thickBot="1" x14ac:dyDescent="0.45">
      <c r="A10" s="157"/>
      <c r="B10" s="186" t="s">
        <v>53</v>
      </c>
      <c r="C10" s="120" t="s">
        <v>243</v>
      </c>
      <c r="D10" s="25" t="s">
        <v>51</v>
      </c>
      <c r="E10" s="26" t="s">
        <v>440</v>
      </c>
      <c r="F10" s="26" t="s">
        <v>369</v>
      </c>
      <c r="G10" s="26" t="s">
        <v>206</v>
      </c>
      <c r="H10" s="26" t="s">
        <v>316</v>
      </c>
      <c r="I10" s="26" t="s">
        <v>70</v>
      </c>
      <c r="J10" s="26" t="s">
        <v>70</v>
      </c>
      <c r="K10" s="26" t="s">
        <v>301</v>
      </c>
      <c r="L10" s="26" t="s">
        <v>302</v>
      </c>
      <c r="M10" s="26" t="s">
        <v>196</v>
      </c>
      <c r="N10" s="26" t="s">
        <v>162</v>
      </c>
      <c r="O10" s="26" t="s">
        <v>206</v>
      </c>
      <c r="P10" s="26" t="s">
        <v>70</v>
      </c>
      <c r="Q10" s="26" t="s">
        <v>70</v>
      </c>
      <c r="R10" s="26" t="s">
        <v>73</v>
      </c>
      <c r="S10" s="26" t="s">
        <v>97</v>
      </c>
      <c r="T10" s="26" t="s">
        <v>97</v>
      </c>
      <c r="U10" s="26" t="s">
        <v>197</v>
      </c>
      <c r="V10" s="26" t="s">
        <v>77</v>
      </c>
      <c r="W10" s="26" t="s">
        <v>70</v>
      </c>
      <c r="X10" s="26" t="s">
        <v>70</v>
      </c>
      <c r="Y10" s="26" t="s">
        <v>76</v>
      </c>
      <c r="Z10" s="26" t="s">
        <v>78</v>
      </c>
      <c r="AA10" s="26" t="s">
        <v>100</v>
      </c>
      <c r="AB10" s="26" t="s">
        <v>74</v>
      </c>
      <c r="AC10" s="26" t="s">
        <v>76</v>
      </c>
      <c r="AD10" s="26" t="s">
        <v>70</v>
      </c>
      <c r="AE10" s="26" t="s">
        <v>70</v>
      </c>
      <c r="AF10" s="26" t="s">
        <v>69</v>
      </c>
      <c r="AG10" s="26" t="s">
        <v>68</v>
      </c>
      <c r="AH10" s="26" t="s">
        <v>72</v>
      </c>
      <c r="AI10" s="26" t="s">
        <v>76</v>
      </c>
      <c r="AJ10" s="194" t="s">
        <v>464</v>
      </c>
      <c r="AK10" s="106"/>
      <c r="AL10" s="194"/>
      <c r="AM10" s="200"/>
      <c r="AN10" s="111">
        <f>(E10+F10+G10+H10+K10+L10+M10+N10+O10+R10+S10+T10+U10+V10+Y10+Z10+AA10+AB10+AC10+AF10+AG10+AH10+AI10)/23</f>
        <v>0.34996980676328504</v>
      </c>
      <c r="AO10" s="181">
        <f>(E11+F11+G11+H11+K11+L11+M11+N11+O11+R11+S11+T11+U11+V11+Y11+Z11+AB11+AC11+AF11+AG11+AH11+AI11)/22</f>
        <v>0.7835858585858585</v>
      </c>
    </row>
    <row r="11" spans="1:68" ht="21.75" customHeight="1" thickTop="1" thickBot="1" x14ac:dyDescent="0.45">
      <c r="A11" s="157"/>
      <c r="B11" s="186"/>
      <c r="C11" s="120"/>
      <c r="D11" s="25" t="s">
        <v>52</v>
      </c>
      <c r="E11" s="26" t="s">
        <v>146</v>
      </c>
      <c r="F11" s="26" t="s">
        <v>150</v>
      </c>
      <c r="G11" s="26" t="s">
        <v>101</v>
      </c>
      <c r="H11" s="26" t="s">
        <v>150</v>
      </c>
      <c r="I11" s="26" t="s">
        <v>70</v>
      </c>
      <c r="J11" s="26" t="s">
        <v>70</v>
      </c>
      <c r="K11" s="26" t="s">
        <v>87</v>
      </c>
      <c r="L11" s="26" t="s">
        <v>158</v>
      </c>
      <c r="M11" s="26" t="s">
        <v>87</v>
      </c>
      <c r="N11" s="26" t="s">
        <v>309</v>
      </c>
      <c r="O11" s="26" t="s">
        <v>151</v>
      </c>
      <c r="P11" s="26" t="s">
        <v>70</v>
      </c>
      <c r="Q11" s="26" t="s">
        <v>70</v>
      </c>
      <c r="R11" s="26" t="s">
        <v>90</v>
      </c>
      <c r="S11" s="26" t="s">
        <v>98</v>
      </c>
      <c r="T11" s="26" t="s">
        <v>81</v>
      </c>
      <c r="U11" s="26" t="s">
        <v>87</v>
      </c>
      <c r="V11" s="26" t="s">
        <v>309</v>
      </c>
      <c r="W11" s="26" t="s">
        <v>70</v>
      </c>
      <c r="X11" s="26" t="s">
        <v>70</v>
      </c>
      <c r="Y11" s="26" t="s">
        <v>146</v>
      </c>
      <c r="Z11" s="26" t="s">
        <v>150</v>
      </c>
      <c r="AA11" s="26" t="s">
        <v>487</v>
      </c>
      <c r="AB11" s="26" t="s">
        <v>90</v>
      </c>
      <c r="AC11" s="26" t="s">
        <v>85</v>
      </c>
      <c r="AD11" s="26" t="s">
        <v>70</v>
      </c>
      <c r="AE11" s="26" t="s">
        <v>70</v>
      </c>
      <c r="AF11" s="26" t="s">
        <v>309</v>
      </c>
      <c r="AG11" s="26" t="s">
        <v>123</v>
      </c>
      <c r="AH11" s="26" t="s">
        <v>165</v>
      </c>
      <c r="AI11" s="26" t="s">
        <v>169</v>
      </c>
      <c r="AJ11" s="194"/>
      <c r="AK11" s="106"/>
      <c r="AL11" s="194"/>
      <c r="AM11" s="200"/>
      <c r="AN11" s="111"/>
      <c r="AO11" s="181"/>
    </row>
    <row r="12" spans="1:68" ht="21.75" customHeight="1" thickTop="1" thickBot="1" x14ac:dyDescent="0.45">
      <c r="A12" s="157"/>
      <c r="B12" s="186" t="s">
        <v>56</v>
      </c>
      <c r="C12" s="120" t="s">
        <v>177</v>
      </c>
      <c r="D12" s="25" t="s">
        <v>51</v>
      </c>
      <c r="E12" s="26" t="s">
        <v>109</v>
      </c>
      <c r="F12" s="26" t="s">
        <v>215</v>
      </c>
      <c r="G12" s="26" t="s">
        <v>369</v>
      </c>
      <c r="H12" s="26" t="s">
        <v>68</v>
      </c>
      <c r="I12" s="26" t="s">
        <v>70</v>
      </c>
      <c r="J12" s="26" t="s">
        <v>70</v>
      </c>
      <c r="K12" s="26" t="s">
        <v>369</v>
      </c>
      <c r="L12" s="26" t="s">
        <v>369</v>
      </c>
      <c r="M12" s="26" t="s">
        <v>207</v>
      </c>
      <c r="N12" s="26" t="s">
        <v>350</v>
      </c>
      <c r="O12" s="26" t="s">
        <v>300</v>
      </c>
      <c r="P12" s="26" t="s">
        <v>70</v>
      </c>
      <c r="Q12" s="26" t="s">
        <v>70</v>
      </c>
      <c r="R12" s="26" t="s">
        <v>174</v>
      </c>
      <c r="S12" s="26" t="s">
        <v>174</v>
      </c>
      <c r="T12" s="26" t="s">
        <v>345</v>
      </c>
      <c r="U12" s="26" t="s">
        <v>301</v>
      </c>
      <c r="V12" s="26" t="s">
        <v>317</v>
      </c>
      <c r="W12" s="26" t="s">
        <v>70</v>
      </c>
      <c r="X12" s="26" t="s">
        <v>70</v>
      </c>
      <c r="Y12" s="26" t="s">
        <v>470</v>
      </c>
      <c r="Z12" s="26" t="s">
        <v>371</v>
      </c>
      <c r="AA12" s="26" t="s">
        <v>111</v>
      </c>
      <c r="AB12" s="26" t="s">
        <v>317</v>
      </c>
      <c r="AC12" s="26" t="s">
        <v>488</v>
      </c>
      <c r="AD12" s="26" t="s">
        <v>70</v>
      </c>
      <c r="AE12" s="26" t="s">
        <v>70</v>
      </c>
      <c r="AF12" s="26" t="s">
        <v>470</v>
      </c>
      <c r="AG12" s="26" t="s">
        <v>371</v>
      </c>
      <c r="AH12" s="26" t="s">
        <v>371</v>
      </c>
      <c r="AI12" s="26" t="s">
        <v>317</v>
      </c>
      <c r="AJ12" s="194" t="s">
        <v>355</v>
      </c>
      <c r="AK12" s="106"/>
      <c r="AL12" s="194" t="s">
        <v>280</v>
      </c>
      <c r="AM12" s="200"/>
      <c r="AN12" s="111">
        <f>(E12+F12+G12+H12+K12+L12+M12+N12+O12+R12+S12+T12+U12+V12+Y12+Z12+AA12+AB12+AC12+AF12+AG12+AH12+AI12)/23</f>
        <v>0.33399758454106276</v>
      </c>
      <c r="AO12" s="181">
        <f>(E13+F13+G13+H13+K13+L13+M13+N13+O13+R13+S13+T13+U13+V13+Y13+Z13+AB13+AC13+AF13+AG13+AH13+AI13)/22</f>
        <v>0.78806818181818172</v>
      </c>
    </row>
    <row r="13" spans="1:68" ht="21.75" customHeight="1" thickTop="1" thickBot="1" x14ac:dyDescent="0.45">
      <c r="A13" s="158"/>
      <c r="B13" s="186"/>
      <c r="C13" s="120"/>
      <c r="D13" s="25" t="s">
        <v>52</v>
      </c>
      <c r="E13" s="26" t="s">
        <v>309</v>
      </c>
      <c r="F13" s="26" t="s">
        <v>150</v>
      </c>
      <c r="G13" s="26" t="s">
        <v>150</v>
      </c>
      <c r="H13" s="26" t="s">
        <v>83</v>
      </c>
      <c r="I13" s="26" t="s">
        <v>70</v>
      </c>
      <c r="J13" s="26" t="s">
        <v>70</v>
      </c>
      <c r="K13" s="26" t="s">
        <v>85</v>
      </c>
      <c r="L13" s="26" t="s">
        <v>150</v>
      </c>
      <c r="M13" s="26" t="s">
        <v>102</v>
      </c>
      <c r="N13" s="26" t="s">
        <v>103</v>
      </c>
      <c r="O13" s="26" t="s">
        <v>102</v>
      </c>
      <c r="P13" s="26" t="s">
        <v>70</v>
      </c>
      <c r="Q13" s="26" t="s">
        <v>70</v>
      </c>
      <c r="R13" s="26" t="s">
        <v>123</v>
      </c>
      <c r="S13" s="26" t="s">
        <v>81</v>
      </c>
      <c r="T13" s="26" t="s">
        <v>169</v>
      </c>
      <c r="U13" s="26" t="s">
        <v>183</v>
      </c>
      <c r="V13" s="26" t="s">
        <v>367</v>
      </c>
      <c r="W13" s="26" t="s">
        <v>70</v>
      </c>
      <c r="X13" s="26" t="s">
        <v>70</v>
      </c>
      <c r="Y13" s="26" t="s">
        <v>115</v>
      </c>
      <c r="Z13" s="26" t="s">
        <v>189</v>
      </c>
      <c r="AA13" s="26" t="s">
        <v>241</v>
      </c>
      <c r="AB13" s="26" t="s">
        <v>116</v>
      </c>
      <c r="AC13" s="26" t="s">
        <v>85</v>
      </c>
      <c r="AD13" s="26" t="s">
        <v>70</v>
      </c>
      <c r="AE13" s="26" t="s">
        <v>70</v>
      </c>
      <c r="AF13" s="26" t="s">
        <v>90</v>
      </c>
      <c r="AG13" s="26" t="s">
        <v>83</v>
      </c>
      <c r="AH13" s="26" t="s">
        <v>102</v>
      </c>
      <c r="AI13" s="26" t="s">
        <v>169</v>
      </c>
      <c r="AJ13" s="194"/>
      <c r="AK13" s="106"/>
      <c r="AL13" s="194"/>
      <c r="AM13" s="200"/>
      <c r="AN13" s="111"/>
      <c r="AO13" s="181"/>
    </row>
    <row r="14" spans="1:68" ht="21.75" customHeight="1" x14ac:dyDescent="0.4">
      <c r="A14" s="30"/>
      <c r="B14" s="186" t="s">
        <v>56</v>
      </c>
      <c r="C14" s="120" t="s">
        <v>57</v>
      </c>
      <c r="D14" s="25" t="s">
        <v>51</v>
      </c>
      <c r="E14" s="26" t="s">
        <v>75</v>
      </c>
      <c r="F14" s="26" t="s">
        <v>152</v>
      </c>
      <c r="G14" s="26" t="s">
        <v>160</v>
      </c>
      <c r="H14" s="26" t="s">
        <v>149</v>
      </c>
      <c r="I14" s="26" t="s">
        <v>70</v>
      </c>
      <c r="J14" s="26" t="s">
        <v>70</v>
      </c>
      <c r="K14" s="26" t="s">
        <v>79</v>
      </c>
      <c r="L14" s="26" t="s">
        <v>160</v>
      </c>
      <c r="M14" s="26" t="s">
        <v>135</v>
      </c>
      <c r="N14" s="26" t="s">
        <v>120</v>
      </c>
      <c r="O14" s="26" t="s">
        <v>135</v>
      </c>
      <c r="P14" s="26" t="s">
        <v>70</v>
      </c>
      <c r="Q14" s="26" t="s">
        <v>70</v>
      </c>
      <c r="R14" s="26" t="s">
        <v>160</v>
      </c>
      <c r="S14" s="26" t="s">
        <v>135</v>
      </c>
      <c r="T14" s="26" t="s">
        <v>79</v>
      </c>
      <c r="U14" s="26" t="s">
        <v>160</v>
      </c>
      <c r="V14" s="26" t="s">
        <v>156</v>
      </c>
      <c r="W14" s="26" t="s">
        <v>70</v>
      </c>
      <c r="X14" s="26" t="s">
        <v>70</v>
      </c>
      <c r="Y14" s="26" t="s">
        <v>79</v>
      </c>
      <c r="Z14" s="26" t="s">
        <v>79</v>
      </c>
      <c r="AA14" s="26" t="s">
        <v>152</v>
      </c>
      <c r="AB14" s="26" t="s">
        <v>79</v>
      </c>
      <c r="AC14" s="26" t="s">
        <v>79</v>
      </c>
      <c r="AD14" s="26" t="s">
        <v>70</v>
      </c>
      <c r="AE14" s="26" t="s">
        <v>70</v>
      </c>
      <c r="AF14" s="26" t="s">
        <v>79</v>
      </c>
      <c r="AG14" s="26" t="s">
        <v>79</v>
      </c>
      <c r="AH14" s="26" t="s">
        <v>121</v>
      </c>
      <c r="AI14" s="26" t="s">
        <v>135</v>
      </c>
      <c r="AJ14" s="194"/>
      <c r="AK14" s="106"/>
      <c r="AL14" s="194"/>
      <c r="AM14" s="200"/>
      <c r="AN14" s="111">
        <f>(E14+F14+G14+H14+K14+L14+M14+N14+O14+R14+S14+T14+U14+V14+Y14+Z14+AA14+AB14+AC14+AF14+AG14+AH14+AI14)/23</f>
        <v>0.36971618357487934</v>
      </c>
      <c r="AO14" s="181">
        <f>(E15+F15+G15+H15+K15+L15+M15+N15+O15+R15+S15+T15+U15+V15+Y15+Z15+AB15+AC15+AF15+AG15+AH15+AI15)/22</f>
        <v>0.78765782828282838</v>
      </c>
    </row>
    <row r="15" spans="1:68" ht="21.75" customHeight="1" x14ac:dyDescent="0.4">
      <c r="A15" s="30"/>
      <c r="B15" s="186"/>
      <c r="C15" s="120"/>
      <c r="D15" s="25" t="s">
        <v>52</v>
      </c>
      <c r="E15" s="26" t="s">
        <v>309</v>
      </c>
      <c r="F15" s="26" t="s">
        <v>150</v>
      </c>
      <c r="G15" s="26" t="s">
        <v>91</v>
      </c>
      <c r="H15" s="26" t="s">
        <v>83</v>
      </c>
      <c r="I15" s="26" t="s">
        <v>70</v>
      </c>
      <c r="J15" s="26" t="s">
        <v>70</v>
      </c>
      <c r="K15" s="26" t="s">
        <v>85</v>
      </c>
      <c r="L15" s="26" t="s">
        <v>150</v>
      </c>
      <c r="M15" s="26" t="s">
        <v>102</v>
      </c>
      <c r="N15" s="26" t="s">
        <v>85</v>
      </c>
      <c r="O15" s="26" t="s">
        <v>102</v>
      </c>
      <c r="P15" s="26" t="s">
        <v>70</v>
      </c>
      <c r="Q15" s="26" t="s">
        <v>70</v>
      </c>
      <c r="R15" s="26" t="s">
        <v>123</v>
      </c>
      <c r="S15" s="26" t="s">
        <v>81</v>
      </c>
      <c r="T15" s="26" t="s">
        <v>87</v>
      </c>
      <c r="U15" s="26" t="s">
        <v>183</v>
      </c>
      <c r="V15" s="26" t="s">
        <v>367</v>
      </c>
      <c r="W15" s="26" t="s">
        <v>70</v>
      </c>
      <c r="X15" s="26" t="s">
        <v>70</v>
      </c>
      <c r="Y15" s="26" t="s">
        <v>115</v>
      </c>
      <c r="Z15" s="26" t="s">
        <v>189</v>
      </c>
      <c r="AA15" s="26" t="s">
        <v>241</v>
      </c>
      <c r="AB15" s="26" t="s">
        <v>116</v>
      </c>
      <c r="AC15" s="26" t="s">
        <v>85</v>
      </c>
      <c r="AD15" s="26" t="s">
        <v>70</v>
      </c>
      <c r="AE15" s="26" t="s">
        <v>70</v>
      </c>
      <c r="AF15" s="26" t="s">
        <v>90</v>
      </c>
      <c r="AG15" s="26" t="s">
        <v>83</v>
      </c>
      <c r="AH15" s="26" t="s">
        <v>102</v>
      </c>
      <c r="AI15" s="26" t="s">
        <v>169</v>
      </c>
      <c r="AJ15" s="194"/>
      <c r="AK15" s="106"/>
      <c r="AL15" s="194"/>
      <c r="AM15" s="200"/>
      <c r="AN15" s="111"/>
      <c r="AO15" s="181"/>
    </row>
    <row r="16" spans="1:68" ht="21.75" customHeight="1" x14ac:dyDescent="0.4">
      <c r="A16" s="30"/>
      <c r="B16" s="186" t="s">
        <v>56</v>
      </c>
      <c r="C16" s="120" t="s">
        <v>426</v>
      </c>
      <c r="D16" s="25" t="s">
        <v>51</v>
      </c>
      <c r="E16" s="26" t="s">
        <v>161</v>
      </c>
      <c r="F16" s="26" t="s">
        <v>73</v>
      </c>
      <c r="G16" s="26" t="s">
        <v>95</v>
      </c>
      <c r="H16" s="26" t="s">
        <v>73</v>
      </c>
      <c r="I16" s="26" t="s">
        <v>70</v>
      </c>
      <c r="J16" s="26" t="s">
        <v>70</v>
      </c>
      <c r="K16" s="26" t="s">
        <v>161</v>
      </c>
      <c r="L16" s="26" t="s">
        <v>149</v>
      </c>
      <c r="M16" s="26" t="s">
        <v>156</v>
      </c>
      <c r="N16" s="26" t="s">
        <v>75</v>
      </c>
      <c r="O16" s="26" t="s">
        <v>119</v>
      </c>
      <c r="P16" s="26" t="s">
        <v>70</v>
      </c>
      <c r="Q16" s="26" t="s">
        <v>70</v>
      </c>
      <c r="R16" s="26" t="s">
        <v>160</v>
      </c>
      <c r="S16" s="26" t="s">
        <v>79</v>
      </c>
      <c r="T16" s="26" t="s">
        <v>122</v>
      </c>
      <c r="U16" s="232" t="s">
        <v>545</v>
      </c>
      <c r="V16" s="233"/>
      <c r="W16" s="26" t="s">
        <v>70</v>
      </c>
      <c r="X16" s="26" t="s">
        <v>70</v>
      </c>
      <c r="Y16" s="26" t="s">
        <v>76</v>
      </c>
      <c r="Z16" s="26" t="s">
        <v>69</v>
      </c>
      <c r="AA16" s="26" t="s">
        <v>161</v>
      </c>
      <c r="AB16" s="26" t="s">
        <v>119</v>
      </c>
      <c r="AC16" s="26" t="s">
        <v>99</v>
      </c>
      <c r="AD16" s="26" t="s">
        <v>70</v>
      </c>
      <c r="AE16" s="26" t="s">
        <v>70</v>
      </c>
      <c r="AF16" s="26" t="s">
        <v>149</v>
      </c>
      <c r="AG16" s="26" t="s">
        <v>100</v>
      </c>
      <c r="AH16" s="26" t="s">
        <v>68</v>
      </c>
      <c r="AI16" s="26" t="s">
        <v>152</v>
      </c>
      <c r="AJ16" s="194"/>
      <c r="AK16" s="106"/>
      <c r="AL16" s="194" t="s">
        <v>282</v>
      </c>
      <c r="AM16" s="200">
        <v>2</v>
      </c>
      <c r="AN16" s="111">
        <f>(E16+F16+G16+H16+K16+L16+M16+N16+O16+R16+S16+T16+Y16+Z16+AA16+AB16+AC16+AF16+AG16+AH16+AI16)/21</f>
        <v>0.36726190476190479</v>
      </c>
      <c r="AO16" s="181">
        <f>(E17+F17+G17+H17+K17+L17+M17+N17+O17+R17+S17+T17+Y17+Z17+AB17+AC17+AF17+AG17+AH17+AI17)/20</f>
        <v>0.77951388888888895</v>
      </c>
    </row>
    <row r="17" spans="1:41" ht="21.75" customHeight="1" thickBot="1" x14ac:dyDescent="0.45">
      <c r="A17" s="30"/>
      <c r="B17" s="187"/>
      <c r="C17" s="121"/>
      <c r="D17" s="31" t="s">
        <v>52</v>
      </c>
      <c r="E17" s="32" t="s">
        <v>89</v>
      </c>
      <c r="F17" s="32" t="s">
        <v>80</v>
      </c>
      <c r="G17" s="32" t="s">
        <v>89</v>
      </c>
      <c r="H17" s="32" t="s">
        <v>90</v>
      </c>
      <c r="I17" s="32" t="s">
        <v>70</v>
      </c>
      <c r="J17" s="32" t="s">
        <v>70</v>
      </c>
      <c r="K17" s="32" t="s">
        <v>80</v>
      </c>
      <c r="L17" s="32" t="s">
        <v>103</v>
      </c>
      <c r="M17" s="32" t="s">
        <v>312</v>
      </c>
      <c r="N17" s="32" t="s">
        <v>88</v>
      </c>
      <c r="O17" s="32" t="s">
        <v>88</v>
      </c>
      <c r="P17" s="32" t="s">
        <v>70</v>
      </c>
      <c r="Q17" s="32" t="s">
        <v>70</v>
      </c>
      <c r="R17" s="32" t="s">
        <v>103</v>
      </c>
      <c r="S17" s="32" t="s">
        <v>88</v>
      </c>
      <c r="T17" s="32" t="s">
        <v>312</v>
      </c>
      <c r="U17" s="234"/>
      <c r="V17" s="235"/>
      <c r="W17" s="32" t="s">
        <v>70</v>
      </c>
      <c r="X17" s="32" t="s">
        <v>70</v>
      </c>
      <c r="Y17" s="32" t="s">
        <v>89</v>
      </c>
      <c r="Z17" s="32" t="s">
        <v>88</v>
      </c>
      <c r="AA17" s="32" t="s">
        <v>541</v>
      </c>
      <c r="AB17" s="32" t="s">
        <v>515</v>
      </c>
      <c r="AC17" s="32" t="s">
        <v>312</v>
      </c>
      <c r="AD17" s="32" t="s">
        <v>70</v>
      </c>
      <c r="AE17" s="32" t="s">
        <v>70</v>
      </c>
      <c r="AF17" s="32" t="s">
        <v>123</v>
      </c>
      <c r="AG17" s="32" t="s">
        <v>88</v>
      </c>
      <c r="AH17" s="32" t="s">
        <v>165</v>
      </c>
      <c r="AI17" s="32" t="s">
        <v>80</v>
      </c>
      <c r="AJ17" s="196"/>
      <c r="AK17" s="167"/>
      <c r="AL17" s="196"/>
      <c r="AM17" s="201"/>
      <c r="AN17" s="188"/>
      <c r="AO17" s="189"/>
    </row>
    <row r="18" spans="1:41" ht="21.75" customHeight="1" x14ac:dyDescent="0.4">
      <c r="A18" s="115" t="s">
        <v>58</v>
      </c>
      <c r="B18" s="190" t="s">
        <v>59</v>
      </c>
      <c r="C18" s="159" t="s">
        <v>60</v>
      </c>
      <c r="D18" s="33" t="s">
        <v>51</v>
      </c>
      <c r="E18" s="34" t="s">
        <v>446</v>
      </c>
      <c r="F18" s="34" t="s">
        <v>302</v>
      </c>
      <c r="G18" s="34" t="s">
        <v>446</v>
      </c>
      <c r="H18" s="34" t="s">
        <v>138</v>
      </c>
      <c r="I18" s="34" t="s">
        <v>70</v>
      </c>
      <c r="J18" s="34" t="s">
        <v>70</v>
      </c>
      <c r="K18" s="34" t="s">
        <v>476</v>
      </c>
      <c r="L18" s="34" t="s">
        <v>371</v>
      </c>
      <c r="M18" s="34" t="s">
        <v>404</v>
      </c>
      <c r="N18" s="34" t="s">
        <v>138</v>
      </c>
      <c r="O18" s="34" t="s">
        <v>233</v>
      </c>
      <c r="P18" s="34" t="s">
        <v>70</v>
      </c>
      <c r="Q18" s="34" t="s">
        <v>70</v>
      </c>
      <c r="R18" s="34" t="s">
        <v>323</v>
      </c>
      <c r="S18" s="34" t="s">
        <v>108</v>
      </c>
      <c r="T18" s="34" t="s">
        <v>371</v>
      </c>
      <c r="U18" s="34" t="s">
        <v>373</v>
      </c>
      <c r="V18" s="34" t="s">
        <v>236</v>
      </c>
      <c r="W18" s="34" t="s">
        <v>70</v>
      </c>
      <c r="X18" s="34" t="s">
        <v>70</v>
      </c>
      <c r="Y18" s="34" t="s">
        <v>319</v>
      </c>
      <c r="Z18" s="34" t="s">
        <v>108</v>
      </c>
      <c r="AA18" s="34" t="s">
        <v>488</v>
      </c>
      <c r="AB18" s="34" t="s">
        <v>230</v>
      </c>
      <c r="AC18" s="34" t="s">
        <v>372</v>
      </c>
      <c r="AD18" s="34" t="s">
        <v>70</v>
      </c>
      <c r="AE18" s="34" t="s">
        <v>70</v>
      </c>
      <c r="AF18" s="34" t="s">
        <v>315</v>
      </c>
      <c r="AG18" s="34" t="s">
        <v>537</v>
      </c>
      <c r="AH18" s="34" t="s">
        <v>477</v>
      </c>
      <c r="AI18" s="34" t="s">
        <v>108</v>
      </c>
      <c r="AJ18" s="160" t="s">
        <v>546</v>
      </c>
      <c r="AK18" s="166"/>
      <c r="AL18" s="108" t="s">
        <v>282</v>
      </c>
      <c r="AM18" s="110"/>
      <c r="AN18" s="111">
        <f>(E18+F18+G18+H18+K18+L18+M18+N18+O18+R18+S18+T18+U18+V18+Y18+Z18+AA18+AB18+AC18+AF18+AG18+AH18+AI18)/23</f>
        <v>0.31473429951690823</v>
      </c>
      <c r="AO18" s="181">
        <f>(E19+F19+G19+H19+K19+L19+M19+N19+O19+R19+S19+T19+U19+V19+Y19+Z19+AB19+AC19+AF19+AG19+AH19+AI19)/22</f>
        <v>0.80470328282828296</v>
      </c>
    </row>
    <row r="19" spans="1:41" ht="21.75" customHeight="1" x14ac:dyDescent="0.4">
      <c r="A19" s="116"/>
      <c r="B19" s="186"/>
      <c r="C19" s="120"/>
      <c r="D19" s="25" t="s">
        <v>52</v>
      </c>
      <c r="E19" s="26" t="s">
        <v>290</v>
      </c>
      <c r="F19" s="26" t="s">
        <v>190</v>
      </c>
      <c r="G19" s="26" t="s">
        <v>87</v>
      </c>
      <c r="H19" s="26" t="s">
        <v>170</v>
      </c>
      <c r="I19" s="26" t="s">
        <v>70</v>
      </c>
      <c r="J19" s="26" t="s">
        <v>70</v>
      </c>
      <c r="K19" s="26" t="s">
        <v>146</v>
      </c>
      <c r="L19" s="26" t="s">
        <v>87</v>
      </c>
      <c r="M19" s="26" t="s">
        <v>295</v>
      </c>
      <c r="N19" s="26" t="s">
        <v>150</v>
      </c>
      <c r="O19" s="26" t="s">
        <v>308</v>
      </c>
      <c r="P19" s="26" t="s">
        <v>70</v>
      </c>
      <c r="Q19" s="26" t="s">
        <v>70</v>
      </c>
      <c r="R19" s="26" t="s">
        <v>114</v>
      </c>
      <c r="S19" s="26" t="s">
        <v>151</v>
      </c>
      <c r="T19" s="26" t="s">
        <v>198</v>
      </c>
      <c r="U19" s="26" t="s">
        <v>157</v>
      </c>
      <c r="V19" s="26" t="s">
        <v>114</v>
      </c>
      <c r="W19" s="26" t="s">
        <v>70</v>
      </c>
      <c r="X19" s="26" t="s">
        <v>70</v>
      </c>
      <c r="Y19" s="26" t="s">
        <v>117</v>
      </c>
      <c r="Z19" s="26" t="s">
        <v>166</v>
      </c>
      <c r="AA19" s="26" t="s">
        <v>114</v>
      </c>
      <c r="AB19" s="26" t="s">
        <v>305</v>
      </c>
      <c r="AC19" s="26" t="s">
        <v>456</v>
      </c>
      <c r="AD19" s="26" t="s">
        <v>70</v>
      </c>
      <c r="AE19" s="26" t="s">
        <v>70</v>
      </c>
      <c r="AF19" s="26" t="s">
        <v>113</v>
      </c>
      <c r="AG19" s="26" t="s">
        <v>188</v>
      </c>
      <c r="AH19" s="26" t="s">
        <v>117</v>
      </c>
      <c r="AI19" s="26" t="s">
        <v>289</v>
      </c>
      <c r="AJ19" s="127"/>
      <c r="AK19" s="106"/>
      <c r="AL19" s="194"/>
      <c r="AM19" s="195"/>
      <c r="AN19" s="111"/>
      <c r="AO19" s="181"/>
    </row>
    <row r="20" spans="1:41" ht="21.75" customHeight="1" x14ac:dyDescent="0.4">
      <c r="A20" s="116"/>
      <c r="B20" s="186" t="s">
        <v>53</v>
      </c>
      <c r="C20" s="120" t="s">
        <v>61</v>
      </c>
      <c r="D20" s="25" t="s">
        <v>51</v>
      </c>
      <c r="E20" s="26" t="s">
        <v>75</v>
      </c>
      <c r="F20" s="26" t="s">
        <v>136</v>
      </c>
      <c r="G20" s="26" t="s">
        <v>134</v>
      </c>
      <c r="H20" s="26" t="s">
        <v>300</v>
      </c>
      <c r="I20" s="26" t="s">
        <v>70</v>
      </c>
      <c r="J20" s="26" t="s">
        <v>70</v>
      </c>
      <c r="K20" s="26" t="s">
        <v>93</v>
      </c>
      <c r="L20" s="26" t="s">
        <v>134</v>
      </c>
      <c r="M20" s="26" t="s">
        <v>137</v>
      </c>
      <c r="N20" s="26" t="s">
        <v>119</v>
      </c>
      <c r="O20" s="26" t="s">
        <v>179</v>
      </c>
      <c r="P20" s="26" t="s">
        <v>70</v>
      </c>
      <c r="Q20" s="26" t="s">
        <v>70</v>
      </c>
      <c r="R20" s="26" t="s">
        <v>160</v>
      </c>
      <c r="S20" s="26" t="s">
        <v>96</v>
      </c>
      <c r="T20" s="26" t="s">
        <v>110</v>
      </c>
      <c r="U20" s="26" t="s">
        <v>346</v>
      </c>
      <c r="V20" s="26" t="s">
        <v>109</v>
      </c>
      <c r="W20" s="26" t="s">
        <v>70</v>
      </c>
      <c r="X20" s="26" t="s">
        <v>70</v>
      </c>
      <c r="Y20" s="26" t="s">
        <v>100</v>
      </c>
      <c r="Z20" s="26" t="s">
        <v>136</v>
      </c>
      <c r="AA20" s="26" t="s">
        <v>179</v>
      </c>
      <c r="AB20" s="26" t="s">
        <v>376</v>
      </c>
      <c r="AC20" s="26" t="s">
        <v>109</v>
      </c>
      <c r="AD20" s="26" t="s">
        <v>70</v>
      </c>
      <c r="AE20" s="26" t="s">
        <v>70</v>
      </c>
      <c r="AF20" s="231" t="s">
        <v>544</v>
      </c>
      <c r="AG20" s="26" t="s">
        <v>376</v>
      </c>
      <c r="AH20" s="26" t="s">
        <v>345</v>
      </c>
      <c r="AI20" s="26" t="s">
        <v>373</v>
      </c>
      <c r="AJ20" s="127"/>
      <c r="AK20" s="106"/>
      <c r="AL20" s="194"/>
      <c r="AM20" s="195">
        <v>1</v>
      </c>
      <c r="AN20" s="111">
        <f>(E20+F20+G20+H20+K20+L20+M20+N20+O20+R20+S20+T20+U20+V20+Y20+Z20+AA20+AB20+AC20+AG20+AH20+AI20)/22</f>
        <v>0.35202020202020201</v>
      </c>
      <c r="AO20" s="181">
        <f>(E21+F21+G21+H21+K21+L21+M21+N21+O21+R21+S21+T21+U21+V21+Y21+Z21+AB21+AC21+AG21+AH21+AI21)/21</f>
        <v>0.77953042328042321</v>
      </c>
    </row>
    <row r="21" spans="1:41" ht="21.75" customHeight="1" x14ac:dyDescent="0.4">
      <c r="A21" s="116"/>
      <c r="B21" s="186"/>
      <c r="C21" s="120"/>
      <c r="D21" s="25" t="s">
        <v>52</v>
      </c>
      <c r="E21" s="26" t="s">
        <v>312</v>
      </c>
      <c r="F21" s="26" t="s">
        <v>88</v>
      </c>
      <c r="G21" s="26" t="s">
        <v>90</v>
      </c>
      <c r="H21" s="26" t="s">
        <v>85</v>
      </c>
      <c r="I21" s="26" t="s">
        <v>70</v>
      </c>
      <c r="J21" s="26" t="s">
        <v>70</v>
      </c>
      <c r="K21" s="26" t="s">
        <v>312</v>
      </c>
      <c r="L21" s="26" t="s">
        <v>88</v>
      </c>
      <c r="M21" s="26" t="s">
        <v>90</v>
      </c>
      <c r="N21" s="26" t="s">
        <v>123</v>
      </c>
      <c r="O21" s="26" t="s">
        <v>123</v>
      </c>
      <c r="P21" s="26" t="s">
        <v>70</v>
      </c>
      <c r="Q21" s="26" t="s">
        <v>70</v>
      </c>
      <c r="R21" s="26" t="s">
        <v>80</v>
      </c>
      <c r="S21" s="26" t="s">
        <v>91</v>
      </c>
      <c r="T21" s="26" t="s">
        <v>88</v>
      </c>
      <c r="U21" s="26" t="s">
        <v>289</v>
      </c>
      <c r="V21" s="26" t="s">
        <v>84</v>
      </c>
      <c r="W21" s="26" t="s">
        <v>70</v>
      </c>
      <c r="X21" s="26" t="s">
        <v>70</v>
      </c>
      <c r="Y21" s="26" t="s">
        <v>80</v>
      </c>
      <c r="Z21" s="26" t="s">
        <v>80</v>
      </c>
      <c r="AA21" s="26" t="s">
        <v>377</v>
      </c>
      <c r="AB21" s="26" t="s">
        <v>90</v>
      </c>
      <c r="AC21" s="26" t="s">
        <v>185</v>
      </c>
      <c r="AD21" s="26" t="s">
        <v>70</v>
      </c>
      <c r="AE21" s="26" t="s">
        <v>70</v>
      </c>
      <c r="AF21" s="126"/>
      <c r="AG21" s="26" t="s">
        <v>166</v>
      </c>
      <c r="AH21" s="26" t="s">
        <v>85</v>
      </c>
      <c r="AI21" s="26" t="s">
        <v>87</v>
      </c>
      <c r="AJ21" s="127"/>
      <c r="AK21" s="106"/>
      <c r="AL21" s="194"/>
      <c r="AM21" s="195"/>
      <c r="AN21" s="111"/>
      <c r="AO21" s="181"/>
    </row>
    <row r="22" spans="1:41" ht="21.75" customHeight="1" x14ac:dyDescent="0.4">
      <c r="A22" s="116"/>
      <c r="B22" s="186" t="s">
        <v>53</v>
      </c>
      <c r="C22" s="120" t="s">
        <v>518</v>
      </c>
      <c r="D22" s="25" t="s">
        <v>51</v>
      </c>
      <c r="E22" s="26" t="s">
        <v>78</v>
      </c>
      <c r="F22" s="26" t="s">
        <v>99</v>
      </c>
      <c r="G22" s="26" t="s">
        <v>78</v>
      </c>
      <c r="H22" s="126" t="s">
        <v>176</v>
      </c>
      <c r="I22" s="26" t="s">
        <v>70</v>
      </c>
      <c r="J22" s="26" t="s">
        <v>70</v>
      </c>
      <c r="K22" s="26" t="s">
        <v>78</v>
      </c>
      <c r="L22" s="26" t="s">
        <v>78</v>
      </c>
      <c r="M22" s="26" t="s">
        <v>73</v>
      </c>
      <c r="N22" s="26" t="s">
        <v>137</v>
      </c>
      <c r="O22" s="26" t="s">
        <v>77</v>
      </c>
      <c r="P22" s="26" t="s">
        <v>70</v>
      </c>
      <c r="Q22" s="26" t="s">
        <v>70</v>
      </c>
      <c r="R22" s="225" t="s">
        <v>520</v>
      </c>
      <c r="S22" s="226"/>
      <c r="T22" s="227"/>
      <c r="U22" s="26" t="s">
        <v>97</v>
      </c>
      <c r="V22" s="26" t="s">
        <v>124</v>
      </c>
      <c r="W22" s="26" t="s">
        <v>70</v>
      </c>
      <c r="X22" s="26" t="s">
        <v>70</v>
      </c>
      <c r="Y22" s="26" t="s">
        <v>78</v>
      </c>
      <c r="Z22" s="26" t="s">
        <v>78</v>
      </c>
      <c r="AA22" s="26" t="s">
        <v>97</v>
      </c>
      <c r="AB22" s="26" t="s">
        <v>99</v>
      </c>
      <c r="AC22" s="26" t="s">
        <v>97</v>
      </c>
      <c r="AD22" s="26" t="s">
        <v>70</v>
      </c>
      <c r="AE22" s="26" t="s">
        <v>70</v>
      </c>
      <c r="AF22" s="26" t="s">
        <v>78</v>
      </c>
      <c r="AG22" s="26" t="s">
        <v>99</v>
      </c>
      <c r="AH22" s="26" t="s">
        <v>99</v>
      </c>
      <c r="AI22" s="26" t="s">
        <v>97</v>
      </c>
      <c r="AJ22" s="127"/>
      <c r="AK22" s="106"/>
      <c r="AL22" s="194"/>
      <c r="AM22" s="195">
        <v>4</v>
      </c>
      <c r="AN22" s="111">
        <f>(E22+F22+G22+K22+L22+M22+N22+O22+U22+V22+Y22+Z22+AA22+AB22+AC22+AF22+AG22+AH22+AI22)/19</f>
        <v>0.35723684210526319</v>
      </c>
      <c r="AO22" s="181">
        <f>(E23+F23+G23+K23+L23+M23+N23+O23+U23+V23+Y23+Z23+AB23+AC23+AF23+AG23+AH23+AI23)/18</f>
        <v>0.78125000000000011</v>
      </c>
    </row>
    <row r="23" spans="1:41" ht="21.75" customHeight="1" x14ac:dyDescent="0.4">
      <c r="A23" s="116"/>
      <c r="B23" s="186"/>
      <c r="C23" s="120"/>
      <c r="D23" s="25" t="s">
        <v>52</v>
      </c>
      <c r="E23" s="26" t="s">
        <v>102</v>
      </c>
      <c r="F23" s="26" t="s">
        <v>91</v>
      </c>
      <c r="G23" s="26" t="s">
        <v>452</v>
      </c>
      <c r="H23" s="126"/>
      <c r="I23" s="26" t="s">
        <v>70</v>
      </c>
      <c r="J23" s="26" t="s">
        <v>70</v>
      </c>
      <c r="K23" s="26" t="s">
        <v>103</v>
      </c>
      <c r="L23" s="26" t="s">
        <v>87</v>
      </c>
      <c r="M23" s="26" t="s">
        <v>89</v>
      </c>
      <c r="N23" s="26" t="s">
        <v>90</v>
      </c>
      <c r="O23" s="26" t="s">
        <v>116</v>
      </c>
      <c r="P23" s="26" t="s">
        <v>70</v>
      </c>
      <c r="Q23" s="26" t="s">
        <v>70</v>
      </c>
      <c r="R23" s="228"/>
      <c r="S23" s="229"/>
      <c r="T23" s="230"/>
      <c r="U23" s="26" t="s">
        <v>92</v>
      </c>
      <c r="V23" s="26" t="s">
        <v>83</v>
      </c>
      <c r="W23" s="26" t="s">
        <v>70</v>
      </c>
      <c r="X23" s="26" t="s">
        <v>70</v>
      </c>
      <c r="Y23" s="26" t="s">
        <v>103</v>
      </c>
      <c r="Z23" s="26" t="s">
        <v>158</v>
      </c>
      <c r="AA23" s="26" t="s">
        <v>542</v>
      </c>
      <c r="AB23" s="26" t="s">
        <v>102</v>
      </c>
      <c r="AC23" s="26" t="s">
        <v>103</v>
      </c>
      <c r="AD23" s="26" t="s">
        <v>70</v>
      </c>
      <c r="AE23" s="26" t="s">
        <v>70</v>
      </c>
      <c r="AF23" s="26" t="s">
        <v>92</v>
      </c>
      <c r="AG23" s="26" t="s">
        <v>102</v>
      </c>
      <c r="AH23" s="26" t="s">
        <v>154</v>
      </c>
      <c r="AI23" s="26" t="s">
        <v>158</v>
      </c>
      <c r="AJ23" s="127"/>
      <c r="AK23" s="106"/>
      <c r="AL23" s="194"/>
      <c r="AM23" s="195"/>
      <c r="AN23" s="111"/>
      <c r="AO23" s="181"/>
    </row>
    <row r="24" spans="1:41" ht="21.75" customHeight="1" x14ac:dyDescent="0.4">
      <c r="A24" s="116"/>
      <c r="B24" s="186" t="s">
        <v>53</v>
      </c>
      <c r="C24" s="120" t="s">
        <v>519</v>
      </c>
      <c r="D24" s="25" t="s">
        <v>51</v>
      </c>
      <c r="E24" s="236" t="s">
        <v>70</v>
      </c>
      <c r="F24" s="26" t="s">
        <v>99</v>
      </c>
      <c r="G24" s="26" t="s">
        <v>73</v>
      </c>
      <c r="H24" s="26" t="s">
        <v>99</v>
      </c>
      <c r="I24" s="26" t="s">
        <v>70</v>
      </c>
      <c r="J24" s="26" t="s">
        <v>70</v>
      </c>
      <c r="K24" s="26" t="s">
        <v>99</v>
      </c>
      <c r="L24" s="26" t="s">
        <v>99</v>
      </c>
      <c r="M24" s="26" t="s">
        <v>100</v>
      </c>
      <c r="N24" s="26" t="s">
        <v>120</v>
      </c>
      <c r="O24" s="26" t="s">
        <v>100</v>
      </c>
      <c r="P24" s="26" t="s">
        <v>70</v>
      </c>
      <c r="Q24" s="26" t="s">
        <v>70</v>
      </c>
      <c r="R24" s="26" t="s">
        <v>120</v>
      </c>
      <c r="S24" s="26" t="s">
        <v>73</v>
      </c>
      <c r="T24" s="26" t="s">
        <v>75</v>
      </c>
      <c r="U24" s="26" t="s">
        <v>73</v>
      </c>
      <c r="V24" s="26" t="s">
        <v>119</v>
      </c>
      <c r="W24" s="26" t="s">
        <v>70</v>
      </c>
      <c r="X24" s="26" t="s">
        <v>70</v>
      </c>
      <c r="Y24" s="26" t="s">
        <v>100</v>
      </c>
      <c r="Z24" s="26" t="s">
        <v>73</v>
      </c>
      <c r="AA24" s="26" t="s">
        <v>73</v>
      </c>
      <c r="AB24" s="26" t="s">
        <v>68</v>
      </c>
      <c r="AC24" s="26" t="s">
        <v>100</v>
      </c>
      <c r="AD24" s="26" t="s">
        <v>70</v>
      </c>
      <c r="AE24" s="26" t="s">
        <v>70</v>
      </c>
      <c r="AF24" s="26" t="s">
        <v>78</v>
      </c>
      <c r="AG24" s="26" t="s">
        <v>97</v>
      </c>
      <c r="AH24" s="26" t="s">
        <v>72</v>
      </c>
      <c r="AI24" s="26" t="s">
        <v>72</v>
      </c>
      <c r="AJ24" s="112"/>
      <c r="AK24" s="106"/>
      <c r="AL24" s="194"/>
      <c r="AM24" s="195"/>
      <c r="AN24" s="111">
        <f>(F24+G24+H24+K24+L24+M24+N24+O24+R24+S24+T24+U24+V24+Y24+Z24+AA24+AB24+AC24+AF24+AG24+AH24+AI24)/22</f>
        <v>0.36133207070707074</v>
      </c>
      <c r="AO24" s="181">
        <f>(F25+G25+H25+K25+L25+M25+N25+O25+R25+S25+T25+U25+V25+Y25+Z25+AB25+AC25+AF25+AG25+AH25+AI25)/21</f>
        <v>0.79150132275132279</v>
      </c>
    </row>
    <row r="25" spans="1:41" ht="21.75" customHeight="1" x14ac:dyDescent="0.4">
      <c r="A25" s="116"/>
      <c r="B25" s="186"/>
      <c r="C25" s="120"/>
      <c r="D25" s="25" t="s">
        <v>52</v>
      </c>
      <c r="E25" s="237"/>
      <c r="F25" s="26" t="s">
        <v>101</v>
      </c>
      <c r="G25" s="26" t="s">
        <v>101</v>
      </c>
      <c r="H25" s="26" t="s">
        <v>88</v>
      </c>
      <c r="I25" s="26" t="s">
        <v>70</v>
      </c>
      <c r="J25" s="26" t="s">
        <v>70</v>
      </c>
      <c r="K25" s="26" t="s">
        <v>88</v>
      </c>
      <c r="L25" s="26" t="s">
        <v>88</v>
      </c>
      <c r="M25" s="26" t="s">
        <v>88</v>
      </c>
      <c r="N25" s="26" t="s">
        <v>91</v>
      </c>
      <c r="O25" s="26" t="s">
        <v>91</v>
      </c>
      <c r="P25" s="26" t="s">
        <v>70</v>
      </c>
      <c r="Q25" s="26" t="s">
        <v>70</v>
      </c>
      <c r="R25" s="26" t="s">
        <v>101</v>
      </c>
      <c r="S25" s="26" t="s">
        <v>103</v>
      </c>
      <c r="T25" s="26" t="s">
        <v>338</v>
      </c>
      <c r="U25" s="26" t="s">
        <v>367</v>
      </c>
      <c r="V25" s="26" t="s">
        <v>191</v>
      </c>
      <c r="W25" s="26" t="s">
        <v>70</v>
      </c>
      <c r="X25" s="26" t="s">
        <v>70</v>
      </c>
      <c r="Y25" s="26" t="s">
        <v>84</v>
      </c>
      <c r="Z25" s="26" t="s">
        <v>101</v>
      </c>
      <c r="AA25" s="26" t="s">
        <v>511</v>
      </c>
      <c r="AB25" s="26" t="s">
        <v>169</v>
      </c>
      <c r="AC25" s="26" t="s">
        <v>171</v>
      </c>
      <c r="AD25" s="26" t="s">
        <v>70</v>
      </c>
      <c r="AE25" s="26" t="s">
        <v>70</v>
      </c>
      <c r="AF25" s="26" t="s">
        <v>148</v>
      </c>
      <c r="AG25" s="26" t="s">
        <v>170</v>
      </c>
      <c r="AH25" s="26" t="s">
        <v>82</v>
      </c>
      <c r="AI25" s="26" t="s">
        <v>543</v>
      </c>
      <c r="AJ25" s="112"/>
      <c r="AK25" s="106"/>
      <c r="AL25" s="194"/>
      <c r="AM25" s="195"/>
      <c r="AN25" s="111"/>
      <c r="AO25" s="181"/>
    </row>
    <row r="26" spans="1:41" ht="22.5" customHeight="1" x14ac:dyDescent="0.4">
      <c r="A26" s="116"/>
      <c r="B26" s="186" t="s">
        <v>56</v>
      </c>
      <c r="C26" s="120" t="s">
        <v>32</v>
      </c>
      <c r="D26" s="25" t="s">
        <v>51</v>
      </c>
      <c r="E26" s="26" t="s">
        <v>75</v>
      </c>
      <c r="F26" s="26" t="s">
        <v>120</v>
      </c>
      <c r="G26" s="26" t="s">
        <v>72</v>
      </c>
      <c r="H26" s="126" t="s">
        <v>176</v>
      </c>
      <c r="I26" s="26" t="s">
        <v>70</v>
      </c>
      <c r="J26" s="26" t="s">
        <v>70</v>
      </c>
      <c r="K26" s="26" t="s">
        <v>75</v>
      </c>
      <c r="L26" s="26" t="s">
        <v>120</v>
      </c>
      <c r="M26" s="26" t="s">
        <v>120</v>
      </c>
      <c r="N26" s="26" t="s">
        <v>73</v>
      </c>
      <c r="O26" s="26" t="s">
        <v>120</v>
      </c>
      <c r="P26" s="83"/>
      <c r="Q26" s="83"/>
      <c r="R26" s="238"/>
      <c r="S26" s="239"/>
      <c r="T26" s="239"/>
      <c r="U26" s="239"/>
      <c r="V26" s="239"/>
      <c r="W26" s="239"/>
      <c r="X26" s="239"/>
      <c r="Y26" s="239"/>
      <c r="Z26" s="239"/>
      <c r="AA26" s="239"/>
      <c r="AB26" s="239"/>
      <c r="AC26" s="239"/>
      <c r="AD26" s="239"/>
      <c r="AE26" s="239"/>
      <c r="AF26" s="239"/>
      <c r="AG26" s="239"/>
      <c r="AH26" s="239"/>
      <c r="AI26" s="240"/>
      <c r="AJ26" s="112"/>
      <c r="AK26" s="106"/>
      <c r="AL26" s="194"/>
      <c r="AM26" s="195">
        <v>1</v>
      </c>
      <c r="AN26" s="111">
        <f>(E26+F26+G26+K26+L26+M26+N26+O26)/8</f>
        <v>0.36588541666666674</v>
      </c>
      <c r="AO26" s="181">
        <f>(E27+F27+G27+K27+L27+M27+N27+O27)/8</f>
        <v>0.77413194444444444</v>
      </c>
    </row>
    <row r="27" spans="1:41" ht="21.75" customHeight="1" x14ac:dyDescent="0.4">
      <c r="A27" s="116"/>
      <c r="B27" s="186"/>
      <c r="C27" s="120"/>
      <c r="D27" s="25" t="s">
        <v>52</v>
      </c>
      <c r="E27" s="26" t="s">
        <v>103</v>
      </c>
      <c r="F27" s="26" t="s">
        <v>147</v>
      </c>
      <c r="G27" s="26" t="s">
        <v>101</v>
      </c>
      <c r="H27" s="126"/>
      <c r="I27" s="26" t="s">
        <v>70</v>
      </c>
      <c r="J27" s="26" t="s">
        <v>70</v>
      </c>
      <c r="K27" s="26" t="s">
        <v>312</v>
      </c>
      <c r="L27" s="26" t="s">
        <v>80</v>
      </c>
      <c r="M27" s="26" t="s">
        <v>312</v>
      </c>
      <c r="N27" s="26" t="s">
        <v>91</v>
      </c>
      <c r="O27" s="26" t="s">
        <v>312</v>
      </c>
      <c r="P27" s="83"/>
      <c r="Q27" s="83"/>
      <c r="R27" s="241"/>
      <c r="S27" s="242"/>
      <c r="T27" s="242"/>
      <c r="U27" s="242"/>
      <c r="V27" s="242"/>
      <c r="W27" s="242"/>
      <c r="X27" s="242"/>
      <c r="Y27" s="242"/>
      <c r="Z27" s="242"/>
      <c r="AA27" s="242"/>
      <c r="AB27" s="242"/>
      <c r="AC27" s="242"/>
      <c r="AD27" s="242"/>
      <c r="AE27" s="242"/>
      <c r="AF27" s="242"/>
      <c r="AG27" s="242"/>
      <c r="AH27" s="242"/>
      <c r="AI27" s="243"/>
      <c r="AJ27" s="112"/>
      <c r="AK27" s="106"/>
      <c r="AL27" s="194"/>
      <c r="AM27" s="195"/>
      <c r="AN27" s="111"/>
      <c r="AO27" s="181"/>
    </row>
    <row r="28" spans="1:41" ht="21.75" customHeight="1" x14ac:dyDescent="0.4">
      <c r="A28" s="116"/>
      <c r="B28" s="186" t="s">
        <v>56</v>
      </c>
      <c r="C28" s="120" t="s">
        <v>242</v>
      </c>
      <c r="D28" s="25" t="s">
        <v>51</v>
      </c>
      <c r="E28" s="26" t="s">
        <v>68</v>
      </c>
      <c r="F28" s="26" t="s">
        <v>79</v>
      </c>
      <c r="G28" s="26" t="s">
        <v>121</v>
      </c>
      <c r="H28" s="29" t="s">
        <v>163</v>
      </c>
      <c r="I28" s="26" t="s">
        <v>70</v>
      </c>
      <c r="J28" s="26" t="s">
        <v>70</v>
      </c>
      <c r="K28" s="26" t="s">
        <v>120</v>
      </c>
      <c r="L28" s="26" t="s">
        <v>149</v>
      </c>
      <c r="M28" s="26" t="s">
        <v>120</v>
      </c>
      <c r="N28" s="26" t="s">
        <v>121</v>
      </c>
      <c r="O28" s="126" t="s">
        <v>176</v>
      </c>
      <c r="P28" s="26" t="s">
        <v>70</v>
      </c>
      <c r="Q28" s="26" t="s">
        <v>70</v>
      </c>
      <c r="R28" s="26" t="s">
        <v>78</v>
      </c>
      <c r="S28" s="26" t="s">
        <v>156</v>
      </c>
      <c r="T28" s="26" t="s">
        <v>149</v>
      </c>
      <c r="U28" s="26" t="s">
        <v>152</v>
      </c>
      <c r="V28" s="26" t="s">
        <v>162</v>
      </c>
      <c r="W28" s="26" t="s">
        <v>70</v>
      </c>
      <c r="X28" s="26" t="s">
        <v>70</v>
      </c>
      <c r="Y28" s="26" t="s">
        <v>121</v>
      </c>
      <c r="Z28" s="26" t="s">
        <v>152</v>
      </c>
      <c r="AA28" s="26" t="s">
        <v>162</v>
      </c>
      <c r="AB28" s="26" t="s">
        <v>79</v>
      </c>
      <c r="AC28" s="26" t="s">
        <v>135</v>
      </c>
      <c r="AD28" s="26" t="s">
        <v>70</v>
      </c>
      <c r="AE28" s="26" t="s">
        <v>70</v>
      </c>
      <c r="AF28" s="225" t="s">
        <v>176</v>
      </c>
      <c r="AG28" s="227"/>
      <c r="AH28" s="26" t="s">
        <v>122</v>
      </c>
      <c r="AI28" s="26" t="s">
        <v>69</v>
      </c>
      <c r="AJ28" s="112"/>
      <c r="AK28" s="106" t="s">
        <v>282</v>
      </c>
      <c r="AL28" s="194"/>
      <c r="AM28" s="195">
        <v>3</v>
      </c>
      <c r="AN28" s="111">
        <f>(E28+F28+G28+H28+K28+L28+M28+N28+R28+S28+T28+U28+V28+Y28+Z28+AA28+AB28+AC28+AH28+AI28)/20</f>
        <v>0.36975694444444451</v>
      </c>
      <c r="AO28" s="181">
        <f>(E29+F29+G29+H29+K29+L29+M29+N29+R29+S29+T29+U29+V29+Y29+Z29+AB29+AC29+AH29+AI29)/19</f>
        <v>0.7754751461988304</v>
      </c>
    </row>
    <row r="29" spans="1:41" ht="21.75" customHeight="1" x14ac:dyDescent="0.4">
      <c r="A29" s="117"/>
      <c r="B29" s="186"/>
      <c r="C29" s="120"/>
      <c r="D29" s="25" t="s">
        <v>52</v>
      </c>
      <c r="E29" s="26" t="s">
        <v>80</v>
      </c>
      <c r="F29" s="26" t="s">
        <v>85</v>
      </c>
      <c r="G29" s="26" t="s">
        <v>80</v>
      </c>
      <c r="H29" s="26" t="s">
        <v>80</v>
      </c>
      <c r="I29" s="26" t="s">
        <v>70</v>
      </c>
      <c r="J29" s="26" t="s">
        <v>70</v>
      </c>
      <c r="K29" s="26" t="s">
        <v>88</v>
      </c>
      <c r="L29" s="26" t="s">
        <v>80</v>
      </c>
      <c r="M29" s="26" t="s">
        <v>88</v>
      </c>
      <c r="N29" s="26" t="s">
        <v>102</v>
      </c>
      <c r="O29" s="126"/>
      <c r="P29" s="26" t="s">
        <v>70</v>
      </c>
      <c r="Q29" s="26" t="s">
        <v>70</v>
      </c>
      <c r="R29" s="26" t="s">
        <v>80</v>
      </c>
      <c r="S29" s="26" t="s">
        <v>80</v>
      </c>
      <c r="T29" s="26" t="s">
        <v>88</v>
      </c>
      <c r="U29" s="26" t="s">
        <v>85</v>
      </c>
      <c r="V29" s="26" t="s">
        <v>80</v>
      </c>
      <c r="W29" s="26" t="s">
        <v>70</v>
      </c>
      <c r="X29" s="26" t="s">
        <v>70</v>
      </c>
      <c r="Y29" s="26" t="s">
        <v>88</v>
      </c>
      <c r="Z29" s="26" t="s">
        <v>88</v>
      </c>
      <c r="AA29" s="26" t="s">
        <v>377</v>
      </c>
      <c r="AB29" s="26" t="s">
        <v>80</v>
      </c>
      <c r="AC29" s="26" t="s">
        <v>451</v>
      </c>
      <c r="AD29" s="26" t="s">
        <v>70</v>
      </c>
      <c r="AE29" s="26" t="s">
        <v>70</v>
      </c>
      <c r="AF29" s="228"/>
      <c r="AG29" s="230"/>
      <c r="AH29" s="26" t="s">
        <v>91</v>
      </c>
      <c r="AI29" s="26" t="s">
        <v>92</v>
      </c>
      <c r="AJ29" s="112"/>
      <c r="AK29" s="106"/>
      <c r="AL29" s="194"/>
      <c r="AM29" s="195"/>
      <c r="AN29" s="111"/>
      <c r="AO29" s="181"/>
    </row>
    <row r="30" spans="1:41" ht="21.75" customHeight="1" x14ac:dyDescent="0.4">
      <c r="A30" s="117"/>
      <c r="B30" s="186" t="s">
        <v>56</v>
      </c>
      <c r="C30" s="120" t="s">
        <v>492</v>
      </c>
      <c r="D30" s="25" t="s">
        <v>51</v>
      </c>
      <c r="E30" s="26" t="s">
        <v>73</v>
      </c>
      <c r="F30" s="26" t="s">
        <v>99</v>
      </c>
      <c r="G30" s="26" t="s">
        <v>162</v>
      </c>
      <c r="H30" s="26" t="s">
        <v>68</v>
      </c>
      <c r="I30" s="26" t="s">
        <v>70</v>
      </c>
      <c r="J30" s="26" t="s">
        <v>70</v>
      </c>
      <c r="K30" s="26" t="s">
        <v>72</v>
      </c>
      <c r="L30" s="26" t="s">
        <v>124</v>
      </c>
      <c r="M30" s="26" t="s">
        <v>124</v>
      </c>
      <c r="N30" s="26" t="s">
        <v>78</v>
      </c>
      <c r="O30" s="26" t="s">
        <v>78</v>
      </c>
      <c r="P30" s="26" t="s">
        <v>70</v>
      </c>
      <c r="Q30" s="26" t="s">
        <v>70</v>
      </c>
      <c r="R30" s="26" t="s">
        <v>137</v>
      </c>
      <c r="S30" s="26" t="s">
        <v>78</v>
      </c>
      <c r="T30" s="26" t="s">
        <v>94</v>
      </c>
      <c r="U30" s="26" t="s">
        <v>72</v>
      </c>
      <c r="V30" s="26" t="s">
        <v>142</v>
      </c>
      <c r="W30" s="26" t="s">
        <v>70</v>
      </c>
      <c r="X30" s="26" t="s">
        <v>70</v>
      </c>
      <c r="Y30" s="26" t="s">
        <v>99</v>
      </c>
      <c r="Z30" s="26" t="s">
        <v>78</v>
      </c>
      <c r="AA30" s="26" t="s">
        <v>99</v>
      </c>
      <c r="AB30" s="238" t="s">
        <v>70</v>
      </c>
      <c r="AC30" s="239"/>
      <c r="AD30" s="239"/>
      <c r="AE30" s="239"/>
      <c r="AF30" s="239"/>
      <c r="AG30" s="239"/>
      <c r="AH30" s="239"/>
      <c r="AI30" s="240"/>
      <c r="AJ30" s="112"/>
      <c r="AK30" s="106"/>
      <c r="AL30" s="194"/>
      <c r="AM30" s="195"/>
      <c r="AN30" s="111">
        <f>(E30+F30+G30+H30+K30+L30+M30+N30+O30+R30+S30+T30+U30+V30+Y30+Z30+AA30)/17</f>
        <v>0.35955882352941188</v>
      </c>
      <c r="AO30" s="181">
        <f>(E31+F31+G31+H31+K31+L31+M31+N31+O31+R31+S31+T31+U31+V31+Y31+Z31+AA31)/17</f>
        <v>0.77222222222222214</v>
      </c>
    </row>
    <row r="31" spans="1:41" ht="21.75" customHeight="1" thickBot="1" x14ac:dyDescent="0.45">
      <c r="A31" s="117"/>
      <c r="B31" s="187"/>
      <c r="C31" s="121"/>
      <c r="D31" s="31" t="s">
        <v>52</v>
      </c>
      <c r="E31" s="32" t="s">
        <v>312</v>
      </c>
      <c r="F31" s="32" t="s">
        <v>88</v>
      </c>
      <c r="G31" s="32" t="s">
        <v>312</v>
      </c>
      <c r="H31" s="32" t="s">
        <v>312</v>
      </c>
      <c r="I31" s="32" t="s">
        <v>70</v>
      </c>
      <c r="J31" s="32" t="s">
        <v>70</v>
      </c>
      <c r="K31" s="32" t="s">
        <v>312</v>
      </c>
      <c r="L31" s="32" t="s">
        <v>312</v>
      </c>
      <c r="M31" s="32" t="s">
        <v>88</v>
      </c>
      <c r="N31" s="32" t="s">
        <v>88</v>
      </c>
      <c r="O31" s="32" t="s">
        <v>116</v>
      </c>
      <c r="P31" s="32" t="s">
        <v>70</v>
      </c>
      <c r="Q31" s="32" t="s">
        <v>70</v>
      </c>
      <c r="R31" s="32" t="s">
        <v>88</v>
      </c>
      <c r="S31" s="32" t="s">
        <v>88</v>
      </c>
      <c r="T31" s="32" t="s">
        <v>88</v>
      </c>
      <c r="U31" s="32" t="s">
        <v>80</v>
      </c>
      <c r="V31" s="32" t="s">
        <v>88</v>
      </c>
      <c r="W31" s="32" t="s">
        <v>70</v>
      </c>
      <c r="X31" s="32" t="s">
        <v>70</v>
      </c>
      <c r="Y31" s="32" t="s">
        <v>88</v>
      </c>
      <c r="Z31" s="32" t="s">
        <v>88</v>
      </c>
      <c r="AA31" s="32" t="s">
        <v>312</v>
      </c>
      <c r="AB31" s="244"/>
      <c r="AC31" s="245"/>
      <c r="AD31" s="245"/>
      <c r="AE31" s="245"/>
      <c r="AF31" s="245"/>
      <c r="AG31" s="245"/>
      <c r="AH31" s="245"/>
      <c r="AI31" s="246"/>
      <c r="AJ31" s="122"/>
      <c r="AK31" s="167"/>
      <c r="AL31" s="196"/>
      <c r="AM31" s="197"/>
      <c r="AN31" s="188"/>
      <c r="AO31" s="189"/>
    </row>
    <row r="32" spans="1:41" ht="21.75" customHeight="1" x14ac:dyDescent="0.4">
      <c r="A32" s="123" t="s">
        <v>64</v>
      </c>
      <c r="B32" s="190" t="s">
        <v>59</v>
      </c>
      <c r="C32" s="159" t="s">
        <v>65</v>
      </c>
      <c r="D32" s="33" t="s">
        <v>51</v>
      </c>
      <c r="E32" s="34" t="s">
        <v>76</v>
      </c>
      <c r="F32" s="34" t="s">
        <v>72</v>
      </c>
      <c r="G32" s="34" t="s">
        <v>142</v>
      </c>
      <c r="H32" s="34" t="s">
        <v>99</v>
      </c>
      <c r="I32" s="34" t="s">
        <v>70</v>
      </c>
      <c r="J32" s="34" t="s">
        <v>70</v>
      </c>
      <c r="K32" s="34" t="s">
        <v>74</v>
      </c>
      <c r="L32" s="34" t="s">
        <v>143</v>
      </c>
      <c r="M32" s="34" t="s">
        <v>135</v>
      </c>
      <c r="N32" s="34" t="s">
        <v>100</v>
      </c>
      <c r="O32" s="34" t="s">
        <v>100</v>
      </c>
      <c r="P32" s="34" t="s">
        <v>70</v>
      </c>
      <c r="Q32" s="34" t="s">
        <v>70</v>
      </c>
      <c r="R32" s="34" t="s">
        <v>134</v>
      </c>
      <c r="S32" s="34" t="s">
        <v>179</v>
      </c>
      <c r="T32" s="34" t="s">
        <v>93</v>
      </c>
      <c r="U32" s="34" t="s">
        <v>100</v>
      </c>
      <c r="V32" s="34" t="s">
        <v>72</v>
      </c>
      <c r="W32" s="34" t="s">
        <v>70</v>
      </c>
      <c r="X32" s="34" t="s">
        <v>70</v>
      </c>
      <c r="Y32" s="34" t="s">
        <v>74</v>
      </c>
      <c r="Z32" s="34" t="s">
        <v>100</v>
      </c>
      <c r="AA32" s="34" t="s">
        <v>100</v>
      </c>
      <c r="AB32" s="34" t="s">
        <v>94</v>
      </c>
      <c r="AC32" s="34" t="s">
        <v>152</v>
      </c>
      <c r="AD32" s="34" t="s">
        <v>70</v>
      </c>
      <c r="AE32" s="34" t="s">
        <v>70</v>
      </c>
      <c r="AF32" s="34" t="s">
        <v>94</v>
      </c>
      <c r="AG32" s="34" t="s">
        <v>74</v>
      </c>
      <c r="AH32" s="34" t="s">
        <v>97</v>
      </c>
      <c r="AI32" s="34" t="s">
        <v>311</v>
      </c>
      <c r="AJ32" s="160"/>
      <c r="AK32" s="166"/>
      <c r="AL32" s="108" t="s">
        <v>280</v>
      </c>
      <c r="AM32" s="110"/>
      <c r="AN32" s="111">
        <f>(E32+F32+G32+H32+K32+L32+M32+N32+O32+R32+S32+T32+U32+V32+Y32+Z32+AA32+AB32+AC32+AF32+AG32+AH32+AI32)/23</f>
        <v>0.35990338164251201</v>
      </c>
      <c r="AO32" s="181">
        <f>(E33+F33+G33+H33+K33+L33+M33+N33+O33+R33+S33+T33+U33+V33+Y33+Z33+AB33+AC33+AF33+AG33+AH33+AI33)/22</f>
        <v>0.81303661616161615</v>
      </c>
    </row>
    <row r="33" spans="1:41" ht="21.75" customHeight="1" x14ac:dyDescent="0.4">
      <c r="A33" s="124"/>
      <c r="B33" s="186"/>
      <c r="C33" s="120"/>
      <c r="D33" s="25" t="s">
        <v>52</v>
      </c>
      <c r="E33" s="26" t="s">
        <v>294</v>
      </c>
      <c r="F33" s="26" t="s">
        <v>144</v>
      </c>
      <c r="G33" s="26" t="s">
        <v>145</v>
      </c>
      <c r="H33" s="26" t="s">
        <v>145</v>
      </c>
      <c r="I33" s="26" t="s">
        <v>70</v>
      </c>
      <c r="J33" s="26" t="s">
        <v>70</v>
      </c>
      <c r="K33" s="26" t="s">
        <v>185</v>
      </c>
      <c r="L33" s="26" t="s">
        <v>154</v>
      </c>
      <c r="M33" s="26" t="s">
        <v>185</v>
      </c>
      <c r="N33" s="26" t="s">
        <v>298</v>
      </c>
      <c r="O33" s="26" t="s">
        <v>308</v>
      </c>
      <c r="P33" s="26" t="s">
        <v>70</v>
      </c>
      <c r="Q33" s="26" t="s">
        <v>70</v>
      </c>
      <c r="R33" s="26" t="s">
        <v>167</v>
      </c>
      <c r="S33" s="26" t="s">
        <v>131</v>
      </c>
      <c r="T33" s="26" t="s">
        <v>105</v>
      </c>
      <c r="U33" s="26" t="s">
        <v>127</v>
      </c>
      <c r="V33" s="26" t="s">
        <v>367</v>
      </c>
      <c r="W33" s="26" t="s">
        <v>70</v>
      </c>
      <c r="X33" s="26" t="s">
        <v>70</v>
      </c>
      <c r="Y33" s="26" t="s">
        <v>367</v>
      </c>
      <c r="Z33" s="26" t="s">
        <v>343</v>
      </c>
      <c r="AA33" s="26" t="s">
        <v>305</v>
      </c>
      <c r="AB33" s="26" t="s">
        <v>188</v>
      </c>
      <c r="AC33" s="26" t="s">
        <v>183</v>
      </c>
      <c r="AD33" s="26" t="s">
        <v>70</v>
      </c>
      <c r="AE33" s="26" t="s">
        <v>70</v>
      </c>
      <c r="AF33" s="26" t="s">
        <v>190</v>
      </c>
      <c r="AG33" s="26" t="s">
        <v>127</v>
      </c>
      <c r="AH33" s="26" t="s">
        <v>188</v>
      </c>
      <c r="AI33" s="26" t="s">
        <v>190</v>
      </c>
      <c r="AJ33" s="127"/>
      <c r="AK33" s="106"/>
      <c r="AL33" s="194"/>
      <c r="AM33" s="195"/>
      <c r="AN33" s="111"/>
      <c r="AO33" s="181"/>
    </row>
    <row r="34" spans="1:41" ht="21.75" customHeight="1" x14ac:dyDescent="0.4">
      <c r="A34" s="124"/>
      <c r="B34" s="186" t="s">
        <v>67</v>
      </c>
      <c r="C34" s="120" t="s">
        <v>66</v>
      </c>
      <c r="D34" s="25" t="s">
        <v>51</v>
      </c>
      <c r="E34" s="26" t="s">
        <v>119</v>
      </c>
      <c r="F34" s="126" t="s">
        <v>176</v>
      </c>
      <c r="G34" s="26" t="s">
        <v>75</v>
      </c>
      <c r="H34" s="26" t="s">
        <v>119</v>
      </c>
      <c r="I34" s="26" t="s">
        <v>70</v>
      </c>
      <c r="J34" s="26" t="s">
        <v>70</v>
      </c>
      <c r="K34" s="26" t="s">
        <v>75</v>
      </c>
      <c r="L34" s="26" t="s">
        <v>74</v>
      </c>
      <c r="M34" s="26" t="s">
        <v>120</v>
      </c>
      <c r="N34" s="26" t="s">
        <v>94</v>
      </c>
      <c r="O34" s="26" t="s">
        <v>72</v>
      </c>
      <c r="P34" s="26" t="s">
        <v>70</v>
      </c>
      <c r="Q34" s="26" t="s">
        <v>70</v>
      </c>
      <c r="R34" s="26" t="s">
        <v>75</v>
      </c>
      <c r="S34" s="26" t="s">
        <v>120</v>
      </c>
      <c r="T34" s="26" t="s">
        <v>74</v>
      </c>
      <c r="U34" s="26" t="s">
        <v>68</v>
      </c>
      <c r="V34" s="26" t="s">
        <v>69</v>
      </c>
      <c r="W34" s="26" t="s">
        <v>70</v>
      </c>
      <c r="X34" s="26" t="s">
        <v>70</v>
      </c>
      <c r="Y34" s="26" t="s">
        <v>121</v>
      </c>
      <c r="Z34" s="26" t="s">
        <v>73</v>
      </c>
      <c r="AA34" s="26" t="s">
        <v>74</v>
      </c>
      <c r="AB34" s="26" t="s">
        <v>74</v>
      </c>
      <c r="AC34" s="26" t="s">
        <v>152</v>
      </c>
      <c r="AD34" s="26" t="s">
        <v>70</v>
      </c>
      <c r="AE34" s="26" t="s">
        <v>70</v>
      </c>
      <c r="AF34" s="26" t="s">
        <v>120</v>
      </c>
      <c r="AG34" s="231" t="s">
        <v>544</v>
      </c>
      <c r="AH34" s="26" t="s">
        <v>120</v>
      </c>
      <c r="AI34" s="26" t="s">
        <v>119</v>
      </c>
      <c r="AJ34" s="112"/>
      <c r="AK34" s="106"/>
      <c r="AL34" s="194" t="s">
        <v>499</v>
      </c>
      <c r="AM34" s="195">
        <v>2</v>
      </c>
      <c r="AN34" s="111">
        <f>(E34+G34+H34+K34+L34+M34+N34+O34+R34+S34+T34+U34+V34+Y34+Z34+AA34+AB34+AC34+AF34+AH34+AI34)/21</f>
        <v>0.36507936507936506</v>
      </c>
      <c r="AO34" s="181">
        <f>(E35+G35+H35+K35+L35+M35+N35+O35+R35+S35+T35+U35+V35+Y35+Z35+AB35+AC35+AF35+AH35+AI35)/20</f>
        <v>0.81725694444444452</v>
      </c>
    </row>
    <row r="35" spans="1:41" ht="21.75" customHeight="1" x14ac:dyDescent="0.4">
      <c r="A35" s="124"/>
      <c r="B35" s="186"/>
      <c r="C35" s="120"/>
      <c r="D35" s="25" t="s">
        <v>52</v>
      </c>
      <c r="E35" s="26" t="s">
        <v>101</v>
      </c>
      <c r="F35" s="126"/>
      <c r="G35" s="26" t="s">
        <v>330</v>
      </c>
      <c r="H35" s="26" t="s">
        <v>484</v>
      </c>
      <c r="I35" s="26" t="s">
        <v>70</v>
      </c>
      <c r="J35" s="26" t="s">
        <v>70</v>
      </c>
      <c r="K35" s="26" t="s">
        <v>126</v>
      </c>
      <c r="L35" s="26" t="s">
        <v>126</v>
      </c>
      <c r="M35" s="26" t="s">
        <v>343</v>
      </c>
      <c r="N35" s="26" t="s">
        <v>203</v>
      </c>
      <c r="O35" s="26" t="s">
        <v>84</v>
      </c>
      <c r="P35" s="26" t="s">
        <v>70</v>
      </c>
      <c r="Q35" s="26" t="s">
        <v>70</v>
      </c>
      <c r="R35" s="26" t="s">
        <v>173</v>
      </c>
      <c r="S35" s="26" t="s">
        <v>87</v>
      </c>
      <c r="T35" s="26" t="s">
        <v>128</v>
      </c>
      <c r="U35" s="26" t="s">
        <v>129</v>
      </c>
      <c r="V35" s="26" t="s">
        <v>208</v>
      </c>
      <c r="W35" s="26" t="s">
        <v>70</v>
      </c>
      <c r="X35" s="26" t="s">
        <v>70</v>
      </c>
      <c r="Y35" s="26" t="s">
        <v>309</v>
      </c>
      <c r="Z35" s="26" t="s">
        <v>401</v>
      </c>
      <c r="AA35" s="26" t="s">
        <v>217</v>
      </c>
      <c r="AB35" s="26" t="s">
        <v>203</v>
      </c>
      <c r="AC35" s="26" t="s">
        <v>115</v>
      </c>
      <c r="AD35" s="26" t="s">
        <v>70</v>
      </c>
      <c r="AE35" s="26" t="s">
        <v>70</v>
      </c>
      <c r="AF35" s="26" t="s">
        <v>514</v>
      </c>
      <c r="AG35" s="126"/>
      <c r="AH35" s="26" t="s">
        <v>89</v>
      </c>
      <c r="AI35" s="26" t="s">
        <v>331</v>
      </c>
      <c r="AJ35" s="112"/>
      <c r="AK35" s="106"/>
      <c r="AL35" s="194"/>
      <c r="AM35" s="195"/>
      <c r="AN35" s="111"/>
      <c r="AO35" s="181"/>
    </row>
    <row r="36" spans="1:41" ht="21.75" customHeight="1" x14ac:dyDescent="0.4">
      <c r="A36" s="124"/>
      <c r="B36" s="186" t="s">
        <v>49</v>
      </c>
      <c r="C36" s="120" t="s">
        <v>194</v>
      </c>
      <c r="D36" s="25" t="s">
        <v>51</v>
      </c>
      <c r="E36" s="26" t="s">
        <v>149</v>
      </c>
      <c r="F36" s="26" t="s">
        <v>122</v>
      </c>
      <c r="G36" s="26" t="s">
        <v>135</v>
      </c>
      <c r="H36" s="26" t="s">
        <v>121</v>
      </c>
      <c r="I36" s="26" t="s">
        <v>70</v>
      </c>
      <c r="J36" s="26" t="s">
        <v>70</v>
      </c>
      <c r="K36" s="26" t="s">
        <v>124</v>
      </c>
      <c r="L36" s="26" t="s">
        <v>160</v>
      </c>
      <c r="M36" s="26" t="s">
        <v>135</v>
      </c>
      <c r="N36" s="26" t="s">
        <v>121</v>
      </c>
      <c r="O36" s="26" t="s">
        <v>149</v>
      </c>
      <c r="P36" s="26" t="s">
        <v>70</v>
      </c>
      <c r="Q36" s="26" t="s">
        <v>70</v>
      </c>
      <c r="R36" s="26" t="s">
        <v>156</v>
      </c>
      <c r="S36" s="26" t="s">
        <v>161</v>
      </c>
      <c r="T36" s="26" t="s">
        <v>121</v>
      </c>
      <c r="U36" s="26" t="s">
        <v>121</v>
      </c>
      <c r="V36" s="26" t="s">
        <v>79</v>
      </c>
      <c r="W36" s="26" t="s">
        <v>70</v>
      </c>
      <c r="X36" s="26" t="s">
        <v>70</v>
      </c>
      <c r="Y36" s="26" t="s">
        <v>121</v>
      </c>
      <c r="Z36" s="26" t="s">
        <v>160</v>
      </c>
      <c r="AA36" s="29" t="s">
        <v>163</v>
      </c>
      <c r="AB36" s="41" t="s">
        <v>279</v>
      </c>
      <c r="AC36" s="26" t="s">
        <v>149</v>
      </c>
      <c r="AD36" s="26" t="s">
        <v>70</v>
      </c>
      <c r="AE36" s="26" t="s">
        <v>70</v>
      </c>
      <c r="AF36" s="26" t="s">
        <v>135</v>
      </c>
      <c r="AG36" s="26" t="s">
        <v>149</v>
      </c>
      <c r="AH36" s="26" t="s">
        <v>149</v>
      </c>
      <c r="AI36" s="26" t="s">
        <v>149</v>
      </c>
      <c r="AJ36" s="112"/>
      <c r="AK36" s="106" t="s">
        <v>282</v>
      </c>
      <c r="AL36" s="106"/>
      <c r="AM36" s="195">
        <v>1</v>
      </c>
      <c r="AN36" s="111">
        <f>(E36+F36+G36+H36+K36+L36+M36+N36+O36+R36+S36+T36+U36+V36+Y36+Z36+AA36+AC36+AF36+AG36+AH36+AI36)/22</f>
        <v>0.37086489898989899</v>
      </c>
      <c r="AO36" s="181">
        <f>(E37+F37+G37+H37+K37+L37+N37+O37+R37+S37+T37+U37+V37+Y37+Z37+AB37+AC37+AF37+AG37+AH37+AI37)/21</f>
        <v>0.78505291005290989</v>
      </c>
    </row>
    <row r="37" spans="1:41" ht="21.75" customHeight="1" x14ac:dyDescent="0.4">
      <c r="A37" s="124"/>
      <c r="B37" s="186"/>
      <c r="C37" s="120"/>
      <c r="D37" s="25" t="s">
        <v>52</v>
      </c>
      <c r="E37" s="26" t="s">
        <v>307</v>
      </c>
      <c r="F37" s="26" t="s">
        <v>169</v>
      </c>
      <c r="G37" s="26" t="s">
        <v>305</v>
      </c>
      <c r="H37" s="26" t="s">
        <v>90</v>
      </c>
      <c r="I37" s="26" t="s">
        <v>70</v>
      </c>
      <c r="J37" s="26" t="s">
        <v>70</v>
      </c>
      <c r="K37" s="26" t="s">
        <v>306</v>
      </c>
      <c r="L37" s="26" t="s">
        <v>151</v>
      </c>
      <c r="M37" s="41" t="s">
        <v>279</v>
      </c>
      <c r="N37" s="26" t="s">
        <v>89</v>
      </c>
      <c r="O37" s="26" t="s">
        <v>166</v>
      </c>
      <c r="P37" s="26" t="s">
        <v>70</v>
      </c>
      <c r="Q37" s="26" t="s">
        <v>70</v>
      </c>
      <c r="R37" s="26" t="s">
        <v>84</v>
      </c>
      <c r="S37" s="26" t="s">
        <v>92</v>
      </c>
      <c r="T37" s="26" t="s">
        <v>312</v>
      </c>
      <c r="U37" s="26" t="s">
        <v>85</v>
      </c>
      <c r="V37" s="26" t="s">
        <v>169</v>
      </c>
      <c r="W37" s="26" t="s">
        <v>70</v>
      </c>
      <c r="X37" s="26" t="s">
        <v>70</v>
      </c>
      <c r="Y37" s="26" t="s">
        <v>150</v>
      </c>
      <c r="Z37" s="26" t="s">
        <v>102</v>
      </c>
      <c r="AA37" s="26" t="s">
        <v>218</v>
      </c>
      <c r="AB37" s="26" t="s">
        <v>116</v>
      </c>
      <c r="AC37" s="26" t="s">
        <v>310</v>
      </c>
      <c r="AD37" s="26" t="s">
        <v>70</v>
      </c>
      <c r="AE37" s="26" t="s">
        <v>70</v>
      </c>
      <c r="AF37" s="26" t="s">
        <v>116</v>
      </c>
      <c r="AG37" s="26" t="s">
        <v>102</v>
      </c>
      <c r="AH37" s="26" t="s">
        <v>82</v>
      </c>
      <c r="AI37" s="26" t="s">
        <v>98</v>
      </c>
      <c r="AJ37" s="112"/>
      <c r="AK37" s="106"/>
      <c r="AL37" s="106"/>
      <c r="AM37" s="195"/>
      <c r="AN37" s="111"/>
      <c r="AO37" s="181"/>
    </row>
    <row r="38" spans="1:41" ht="21.75" customHeight="1" x14ac:dyDescent="0.4">
      <c r="A38" s="124"/>
      <c r="B38" s="186" t="s">
        <v>56</v>
      </c>
      <c r="C38" s="120" t="s">
        <v>227</v>
      </c>
      <c r="D38" s="25" t="s">
        <v>51</v>
      </c>
      <c r="E38" s="26" t="s">
        <v>121</v>
      </c>
      <c r="F38" s="26" t="s">
        <v>122</v>
      </c>
      <c r="G38" s="126" t="s">
        <v>176</v>
      </c>
      <c r="H38" s="26" t="s">
        <v>149</v>
      </c>
      <c r="I38" s="26" t="s">
        <v>70</v>
      </c>
      <c r="J38" s="26" t="s">
        <v>70</v>
      </c>
      <c r="K38" s="26" t="s">
        <v>156</v>
      </c>
      <c r="L38" s="26" t="s">
        <v>161</v>
      </c>
      <c r="M38" s="26" t="s">
        <v>162</v>
      </c>
      <c r="N38" s="26" t="s">
        <v>149</v>
      </c>
      <c r="O38" s="26" t="s">
        <v>156</v>
      </c>
      <c r="P38" s="26" t="s">
        <v>70</v>
      </c>
      <c r="Q38" s="26" t="s">
        <v>70</v>
      </c>
      <c r="R38" s="26" t="s">
        <v>162</v>
      </c>
      <c r="S38" s="26" t="s">
        <v>156</v>
      </c>
      <c r="T38" s="26" t="s">
        <v>160</v>
      </c>
      <c r="U38" s="26" t="s">
        <v>156</v>
      </c>
      <c r="V38" s="26" t="s">
        <v>71</v>
      </c>
      <c r="W38" s="26" t="s">
        <v>70</v>
      </c>
      <c r="X38" s="26" t="s">
        <v>70</v>
      </c>
      <c r="Y38" s="26" t="s">
        <v>156</v>
      </c>
      <c r="Z38" s="26" t="s">
        <v>149</v>
      </c>
      <c r="AA38" s="26" t="s">
        <v>162</v>
      </c>
      <c r="AB38" s="26" t="s">
        <v>156</v>
      </c>
      <c r="AC38" s="26" t="s">
        <v>122</v>
      </c>
      <c r="AD38" s="83"/>
      <c r="AE38" s="83"/>
      <c r="AF38" s="238"/>
      <c r="AG38" s="239"/>
      <c r="AH38" s="239"/>
      <c r="AI38" s="240"/>
      <c r="AJ38" s="112"/>
      <c r="AK38" s="106"/>
      <c r="AL38" s="194"/>
      <c r="AM38" s="195">
        <v>1</v>
      </c>
      <c r="AN38" s="111">
        <f>(E38+F38+H38+K38+L38+M38+N38+O38+R38+S38+T38+U38+V38+Y38+Z38+AA38+AB38+AC38)/18</f>
        <v>0.37260802469135801</v>
      </c>
      <c r="AO38" s="181">
        <f>(E39+F39+H39+K39+L39+M39+N39+O39+R39+S39+T39+U39+V39+Y39+Z39+AB39+AC39)/17</f>
        <v>0.77565359477124174</v>
      </c>
    </row>
    <row r="39" spans="1:41" ht="21.75" customHeight="1" x14ac:dyDescent="0.4">
      <c r="A39" s="124"/>
      <c r="B39" s="186"/>
      <c r="C39" s="120"/>
      <c r="D39" s="25" t="s">
        <v>52</v>
      </c>
      <c r="E39" s="26" t="s">
        <v>89</v>
      </c>
      <c r="F39" s="26" t="s">
        <v>166</v>
      </c>
      <c r="G39" s="126"/>
      <c r="H39" s="26" t="s">
        <v>85</v>
      </c>
      <c r="I39" s="26" t="s">
        <v>70</v>
      </c>
      <c r="J39" s="26" t="s">
        <v>70</v>
      </c>
      <c r="K39" s="26" t="s">
        <v>90</v>
      </c>
      <c r="L39" s="26" t="s">
        <v>103</v>
      </c>
      <c r="M39" s="26" t="s">
        <v>85</v>
      </c>
      <c r="N39" s="26" t="s">
        <v>92</v>
      </c>
      <c r="O39" s="26" t="s">
        <v>84</v>
      </c>
      <c r="P39" s="26" t="s">
        <v>70</v>
      </c>
      <c r="Q39" s="26" t="s">
        <v>70</v>
      </c>
      <c r="R39" s="26" t="s">
        <v>85</v>
      </c>
      <c r="S39" s="26" t="s">
        <v>102</v>
      </c>
      <c r="T39" s="26" t="s">
        <v>80</v>
      </c>
      <c r="U39" s="26" t="s">
        <v>101</v>
      </c>
      <c r="V39" s="26" t="s">
        <v>103</v>
      </c>
      <c r="W39" s="26" t="s">
        <v>70</v>
      </c>
      <c r="X39" s="26" t="s">
        <v>70</v>
      </c>
      <c r="Y39" s="26" t="s">
        <v>80</v>
      </c>
      <c r="Z39" s="26" t="s">
        <v>101</v>
      </c>
      <c r="AA39" s="26" t="s">
        <v>313</v>
      </c>
      <c r="AB39" s="26" t="s">
        <v>89</v>
      </c>
      <c r="AC39" s="26" t="s">
        <v>312</v>
      </c>
      <c r="AD39" s="83"/>
      <c r="AE39" s="83"/>
      <c r="AF39" s="241"/>
      <c r="AG39" s="242"/>
      <c r="AH39" s="242"/>
      <c r="AI39" s="243"/>
      <c r="AJ39" s="112"/>
      <c r="AK39" s="106"/>
      <c r="AL39" s="194"/>
      <c r="AM39" s="195"/>
      <c r="AN39" s="111"/>
      <c r="AO39" s="181"/>
    </row>
    <row r="40" spans="1:41" ht="21.75" customHeight="1" x14ac:dyDescent="0.4">
      <c r="A40" s="124"/>
      <c r="B40" s="186" t="s">
        <v>56</v>
      </c>
      <c r="C40" s="120" t="s">
        <v>423</v>
      </c>
      <c r="D40" s="25" t="s">
        <v>51</v>
      </c>
      <c r="E40" s="26" t="s">
        <v>161</v>
      </c>
      <c r="F40" s="26" t="s">
        <v>135</v>
      </c>
      <c r="G40" s="26" t="s">
        <v>161</v>
      </c>
      <c r="H40" s="26" t="s">
        <v>152</v>
      </c>
      <c r="I40" s="26" t="s">
        <v>70</v>
      </c>
      <c r="J40" s="26" t="s">
        <v>70</v>
      </c>
      <c r="K40" s="26" t="s">
        <v>300</v>
      </c>
      <c r="L40" s="26" t="s">
        <v>311</v>
      </c>
      <c r="M40" s="26" t="s">
        <v>161</v>
      </c>
      <c r="N40" s="26" t="s">
        <v>135</v>
      </c>
      <c r="O40" s="26" t="s">
        <v>71</v>
      </c>
      <c r="P40" s="26" t="s">
        <v>70</v>
      </c>
      <c r="Q40" s="26" t="s">
        <v>70</v>
      </c>
      <c r="R40" s="26" t="s">
        <v>162</v>
      </c>
      <c r="S40" s="26" t="s">
        <v>161</v>
      </c>
      <c r="T40" s="26" t="s">
        <v>79</v>
      </c>
      <c r="U40" s="29" t="s">
        <v>540</v>
      </c>
      <c r="V40" s="26" t="s">
        <v>71</v>
      </c>
      <c r="W40" s="26" t="s">
        <v>70</v>
      </c>
      <c r="X40" s="26" t="s">
        <v>70</v>
      </c>
      <c r="Y40" s="26" t="s">
        <v>122</v>
      </c>
      <c r="Z40" s="231" t="s">
        <v>544</v>
      </c>
      <c r="AA40" s="26" t="s">
        <v>134</v>
      </c>
      <c r="AB40" s="26" t="s">
        <v>505</v>
      </c>
      <c r="AC40" s="26" t="s">
        <v>71</v>
      </c>
      <c r="AD40" s="26" t="s">
        <v>70</v>
      </c>
      <c r="AE40" s="26" t="s">
        <v>70</v>
      </c>
      <c r="AF40" s="26" t="s">
        <v>71</v>
      </c>
      <c r="AG40" s="26" t="s">
        <v>72</v>
      </c>
      <c r="AH40" s="26" t="s">
        <v>71</v>
      </c>
      <c r="AI40" s="26" t="s">
        <v>149</v>
      </c>
      <c r="AJ40" s="127" t="s">
        <v>282</v>
      </c>
      <c r="AK40" s="106" t="s">
        <v>282</v>
      </c>
      <c r="AL40" s="194" t="s">
        <v>282</v>
      </c>
      <c r="AM40" s="195">
        <v>1</v>
      </c>
      <c r="AN40" s="111">
        <f>(E40+F40+G40+H40+K40+L40+M40+N40+O40+R40+S40+T40+U40+V40+Y40+AA40+AB40+AC40+AF40+AG40+AH40+AI40)/22</f>
        <v>0.36638257575757566</v>
      </c>
      <c r="AO40" s="181">
        <f>(E41+F41+G41+H41+K41+L41+M41+N41+O41+R41+S41+T41+U41+V41+Y41+AB41+AC41+AF41+AG41+AH41+AI41)/21</f>
        <v>0.79414682539682535</v>
      </c>
    </row>
    <row r="41" spans="1:41" ht="21.75" customHeight="1" x14ac:dyDescent="0.4">
      <c r="A41" s="124"/>
      <c r="B41" s="186"/>
      <c r="C41" s="120"/>
      <c r="D41" s="25" t="s">
        <v>52</v>
      </c>
      <c r="E41" s="26" t="s">
        <v>127</v>
      </c>
      <c r="F41" s="26" t="s">
        <v>85</v>
      </c>
      <c r="G41" s="26" t="s">
        <v>85</v>
      </c>
      <c r="H41" s="26" t="s">
        <v>90</v>
      </c>
      <c r="I41" s="26" t="s">
        <v>70</v>
      </c>
      <c r="J41" s="26" t="s">
        <v>70</v>
      </c>
      <c r="K41" s="26" t="s">
        <v>154</v>
      </c>
      <c r="L41" s="26" t="s">
        <v>295</v>
      </c>
      <c r="M41" s="26" t="s">
        <v>186</v>
      </c>
      <c r="N41" s="26" t="s">
        <v>151</v>
      </c>
      <c r="O41" s="26" t="s">
        <v>141</v>
      </c>
      <c r="P41" s="26" t="s">
        <v>70</v>
      </c>
      <c r="Q41" s="26" t="s">
        <v>70</v>
      </c>
      <c r="R41" s="26" t="s">
        <v>91</v>
      </c>
      <c r="S41" s="26" t="s">
        <v>85</v>
      </c>
      <c r="T41" s="26" t="s">
        <v>169</v>
      </c>
      <c r="U41" s="26" t="s">
        <v>89</v>
      </c>
      <c r="V41" s="26" t="s">
        <v>113</v>
      </c>
      <c r="W41" s="26" t="s">
        <v>70</v>
      </c>
      <c r="X41" s="26" t="s">
        <v>70</v>
      </c>
      <c r="Y41" s="26" t="s">
        <v>298</v>
      </c>
      <c r="Z41" s="126"/>
      <c r="AA41" s="26" t="s">
        <v>343</v>
      </c>
      <c r="AB41" s="26" t="s">
        <v>132</v>
      </c>
      <c r="AC41" s="26" t="s">
        <v>126</v>
      </c>
      <c r="AD41" s="26" t="s">
        <v>70</v>
      </c>
      <c r="AE41" s="26" t="s">
        <v>70</v>
      </c>
      <c r="AF41" s="26" t="s">
        <v>102</v>
      </c>
      <c r="AG41" s="26" t="s">
        <v>127</v>
      </c>
      <c r="AH41" s="26" t="s">
        <v>102</v>
      </c>
      <c r="AI41" s="26" t="s">
        <v>146</v>
      </c>
      <c r="AJ41" s="127"/>
      <c r="AK41" s="106"/>
      <c r="AL41" s="194"/>
      <c r="AM41" s="195"/>
      <c r="AN41" s="111"/>
      <c r="AO41" s="181"/>
    </row>
    <row r="42" spans="1:41" ht="21.75" customHeight="1" x14ac:dyDescent="0.4">
      <c r="A42" s="124"/>
      <c r="B42" s="186" t="s">
        <v>56</v>
      </c>
      <c r="C42" s="120" t="s">
        <v>516</v>
      </c>
      <c r="D42" s="25" t="s">
        <v>51</v>
      </c>
      <c r="E42" s="26" t="s">
        <v>121</v>
      </c>
      <c r="F42" s="26" t="s">
        <v>71</v>
      </c>
      <c r="G42" s="26" t="s">
        <v>121</v>
      </c>
      <c r="H42" s="29" t="s">
        <v>485</v>
      </c>
      <c r="I42" s="26" t="s">
        <v>70</v>
      </c>
      <c r="J42" s="26" t="s">
        <v>70</v>
      </c>
      <c r="K42" s="26" t="s">
        <v>120</v>
      </c>
      <c r="L42" s="26" t="s">
        <v>120</v>
      </c>
      <c r="M42" s="26" t="s">
        <v>135</v>
      </c>
      <c r="N42" s="26" t="s">
        <v>68</v>
      </c>
      <c r="O42" s="26" t="s">
        <v>120</v>
      </c>
      <c r="P42" s="26" t="s">
        <v>70</v>
      </c>
      <c r="Q42" s="26" t="s">
        <v>70</v>
      </c>
      <c r="R42" s="26" t="s">
        <v>120</v>
      </c>
      <c r="S42" s="26" t="s">
        <v>121</v>
      </c>
      <c r="T42" s="26" t="s">
        <v>120</v>
      </c>
      <c r="U42" s="26" t="s">
        <v>68</v>
      </c>
      <c r="V42" s="26" t="s">
        <v>68</v>
      </c>
      <c r="W42" s="26" t="s">
        <v>70</v>
      </c>
      <c r="X42" s="26" t="s">
        <v>70</v>
      </c>
      <c r="Y42" s="26" t="s">
        <v>120</v>
      </c>
      <c r="Z42" s="26" t="s">
        <v>152</v>
      </c>
      <c r="AA42" s="26" t="s">
        <v>68</v>
      </c>
      <c r="AB42" s="26" t="s">
        <v>69</v>
      </c>
      <c r="AC42" s="26" t="s">
        <v>71</v>
      </c>
      <c r="AD42" s="26" t="s">
        <v>70</v>
      </c>
      <c r="AE42" s="26" t="s">
        <v>70</v>
      </c>
      <c r="AF42" s="26" t="s">
        <v>71</v>
      </c>
      <c r="AG42" s="238" t="s">
        <v>70</v>
      </c>
      <c r="AH42" s="239"/>
      <c r="AI42" s="240"/>
      <c r="AJ42" s="112"/>
      <c r="AK42" s="106" t="s">
        <v>282</v>
      </c>
      <c r="AL42" s="106"/>
      <c r="AM42" s="195"/>
      <c r="AN42" s="111">
        <f>(E42+F42+G42+H42+K42+L42+M42+N42+O42+R42+S42+T42+U42+V42+Y42+Z42+AA42+AB42+AC42+AF42)/20</f>
        <v>0.36874999999999997</v>
      </c>
      <c r="AO42" s="181">
        <f>(E43+F43+G43+H43+K43+L43+M43+N43+O43+R43+S43+T43+U43+V43+Y43+Z43+AB43+AC43+AF43)/19</f>
        <v>0.77404970760233915</v>
      </c>
    </row>
    <row r="43" spans="1:41" ht="21.75" customHeight="1" thickBot="1" x14ac:dyDescent="0.45">
      <c r="A43" s="125"/>
      <c r="B43" s="187"/>
      <c r="C43" s="121"/>
      <c r="D43" s="31" t="s">
        <v>52</v>
      </c>
      <c r="E43" s="32" t="s">
        <v>312</v>
      </c>
      <c r="F43" s="32" t="s">
        <v>85</v>
      </c>
      <c r="G43" s="32" t="s">
        <v>101</v>
      </c>
      <c r="H43" s="32" t="s">
        <v>101</v>
      </c>
      <c r="I43" s="32" t="s">
        <v>70</v>
      </c>
      <c r="J43" s="32" t="s">
        <v>70</v>
      </c>
      <c r="K43" s="32" t="s">
        <v>89</v>
      </c>
      <c r="L43" s="32" t="s">
        <v>84</v>
      </c>
      <c r="M43" s="32" t="s">
        <v>101</v>
      </c>
      <c r="N43" s="32" t="s">
        <v>150</v>
      </c>
      <c r="O43" s="32" t="s">
        <v>147</v>
      </c>
      <c r="P43" s="32" t="s">
        <v>70</v>
      </c>
      <c r="Q43" s="32" t="s">
        <v>70</v>
      </c>
      <c r="R43" s="32" t="s">
        <v>89</v>
      </c>
      <c r="S43" s="32" t="s">
        <v>91</v>
      </c>
      <c r="T43" s="32" t="s">
        <v>80</v>
      </c>
      <c r="U43" s="32" t="s">
        <v>85</v>
      </c>
      <c r="V43" s="32" t="s">
        <v>80</v>
      </c>
      <c r="W43" s="32" t="s">
        <v>70</v>
      </c>
      <c r="X43" s="32" t="s">
        <v>70</v>
      </c>
      <c r="Y43" s="32" t="s">
        <v>80</v>
      </c>
      <c r="Z43" s="32" t="s">
        <v>80</v>
      </c>
      <c r="AA43" s="32" t="s">
        <v>377</v>
      </c>
      <c r="AB43" s="32" t="s">
        <v>88</v>
      </c>
      <c r="AC43" s="32" t="s">
        <v>88</v>
      </c>
      <c r="AD43" s="32" t="s">
        <v>70</v>
      </c>
      <c r="AE43" s="32" t="s">
        <v>70</v>
      </c>
      <c r="AF43" s="32" t="s">
        <v>312</v>
      </c>
      <c r="AG43" s="244"/>
      <c r="AH43" s="245"/>
      <c r="AI43" s="246"/>
      <c r="AJ43" s="122"/>
      <c r="AK43" s="167"/>
      <c r="AL43" s="167"/>
      <c r="AM43" s="197"/>
      <c r="AN43" s="188"/>
      <c r="AO43" s="189"/>
    </row>
    <row r="44" spans="1:41" x14ac:dyDescent="0.4">
      <c r="AM44" s="36">
        <f>SUM(AM4:AM43)</f>
        <v>19</v>
      </c>
    </row>
  </sheetData>
  <mergeCells count="191">
    <mergeCell ref="A1:C1"/>
    <mergeCell ref="D1:I1"/>
    <mergeCell ref="A2:A3"/>
    <mergeCell ref="B2:B3"/>
    <mergeCell ref="C2:C3"/>
    <mergeCell ref="AJ2:AJ3"/>
    <mergeCell ref="AK2:AK3"/>
    <mergeCell ref="AL2:AL3"/>
    <mergeCell ref="AM2:AM3"/>
    <mergeCell ref="AN2:AN3"/>
    <mergeCell ref="AO2:AO3"/>
    <mergeCell ref="A4:A13"/>
    <mergeCell ref="B4:B5"/>
    <mergeCell ref="C4:C5"/>
    <mergeCell ref="AJ4:AJ5"/>
    <mergeCell ref="AK4:AK5"/>
    <mergeCell ref="B8:B9"/>
    <mergeCell ref="C8:C9"/>
    <mergeCell ref="AJ8:AJ9"/>
    <mergeCell ref="AK8:AK9"/>
    <mergeCell ref="AL8:AL9"/>
    <mergeCell ref="AM8:AM9"/>
    <mergeCell ref="AN8:AN9"/>
    <mergeCell ref="AO8:AO9"/>
    <mergeCell ref="AL4:AL5"/>
    <mergeCell ref="AM4:AM5"/>
    <mergeCell ref="AN4:AN5"/>
    <mergeCell ref="AO4:AO5"/>
    <mergeCell ref="B6:B7"/>
    <mergeCell ref="C6:C7"/>
    <mergeCell ref="AJ6:AJ7"/>
    <mergeCell ref="AK6:AK7"/>
    <mergeCell ref="AL6:AL7"/>
    <mergeCell ref="AM6:AM7"/>
    <mergeCell ref="B14:B15"/>
    <mergeCell ref="C14:C15"/>
    <mergeCell ref="AJ14:AJ15"/>
    <mergeCell ref="AK14:AK15"/>
    <mergeCell ref="AL14:AL15"/>
    <mergeCell ref="AM14:AM15"/>
    <mergeCell ref="AN14:AN15"/>
    <mergeCell ref="AO14:AO15"/>
    <mergeCell ref="AN10:AN11"/>
    <mergeCell ref="AO10:AO11"/>
    <mergeCell ref="B12:B13"/>
    <mergeCell ref="C12:C13"/>
    <mergeCell ref="AJ12:AJ13"/>
    <mergeCell ref="AK12:AK13"/>
    <mergeCell ref="AL12:AL13"/>
    <mergeCell ref="AM12:AM13"/>
    <mergeCell ref="AN12:AN13"/>
    <mergeCell ref="B10:B11"/>
    <mergeCell ref="C10:C11"/>
    <mergeCell ref="AJ10:AJ11"/>
    <mergeCell ref="AK10:AK11"/>
    <mergeCell ref="AL10:AL11"/>
    <mergeCell ref="AM10:AM11"/>
    <mergeCell ref="B20:B21"/>
    <mergeCell ref="C20:C21"/>
    <mergeCell ref="AJ20:AJ21"/>
    <mergeCell ref="AK20:AK21"/>
    <mergeCell ref="AM16:AM17"/>
    <mergeCell ref="AN16:AN17"/>
    <mergeCell ref="AO16:AO17"/>
    <mergeCell ref="A18:A31"/>
    <mergeCell ref="B18:B19"/>
    <mergeCell ref="C18:C19"/>
    <mergeCell ref="AJ18:AJ19"/>
    <mergeCell ref="AK18:AK19"/>
    <mergeCell ref="AL18:AL19"/>
    <mergeCell ref="AM18:AM19"/>
    <mergeCell ref="B16:B17"/>
    <mergeCell ref="C16:C17"/>
    <mergeCell ref="AJ16:AJ17"/>
    <mergeCell ref="AK16:AK17"/>
    <mergeCell ref="AL16:AL17"/>
    <mergeCell ref="B26:B27"/>
    <mergeCell ref="C26:C27"/>
    <mergeCell ref="AJ26:AJ27"/>
    <mergeCell ref="AK26:AK27"/>
    <mergeCell ref="AL26:AL27"/>
    <mergeCell ref="AN26:AN27"/>
    <mergeCell ref="AO26:AO27"/>
    <mergeCell ref="AN22:AN23"/>
    <mergeCell ref="AO22:AO23"/>
    <mergeCell ref="B24:B25"/>
    <mergeCell ref="C24:C25"/>
    <mergeCell ref="AJ24:AJ25"/>
    <mergeCell ref="AK24:AK25"/>
    <mergeCell ref="AL24:AL25"/>
    <mergeCell ref="AM24:AM25"/>
    <mergeCell ref="AN24:AN25"/>
    <mergeCell ref="B22:B23"/>
    <mergeCell ref="C22:C23"/>
    <mergeCell ref="AJ22:AJ23"/>
    <mergeCell ref="AK22:AK23"/>
    <mergeCell ref="AL22:AL23"/>
    <mergeCell ref="AM22:AM23"/>
    <mergeCell ref="A32:A43"/>
    <mergeCell ref="B32:B33"/>
    <mergeCell ref="C32:C33"/>
    <mergeCell ref="AJ32:AJ33"/>
    <mergeCell ref="AK32:AK33"/>
    <mergeCell ref="AL32:AL33"/>
    <mergeCell ref="AM32:AM33"/>
    <mergeCell ref="AN32:AN33"/>
    <mergeCell ref="AN28:AN29"/>
    <mergeCell ref="B30:B31"/>
    <mergeCell ref="C30:C31"/>
    <mergeCell ref="AJ30:AJ31"/>
    <mergeCell ref="AK30:AK31"/>
    <mergeCell ref="AL30:AL31"/>
    <mergeCell ref="AM30:AM31"/>
    <mergeCell ref="B28:B29"/>
    <mergeCell ref="C28:C29"/>
    <mergeCell ref="AJ28:AJ29"/>
    <mergeCell ref="AK28:AK29"/>
    <mergeCell ref="AL28:AL29"/>
    <mergeCell ref="AM28:AM29"/>
    <mergeCell ref="AF28:AG29"/>
    <mergeCell ref="B36:B37"/>
    <mergeCell ref="C36:C37"/>
    <mergeCell ref="AO32:AO33"/>
    <mergeCell ref="B34:B35"/>
    <mergeCell ref="C34:C35"/>
    <mergeCell ref="AJ34:AJ35"/>
    <mergeCell ref="AK34:AK35"/>
    <mergeCell ref="AL34:AL35"/>
    <mergeCell ref="AM34:AM35"/>
    <mergeCell ref="AN34:AN35"/>
    <mergeCell ref="AO34:AO35"/>
    <mergeCell ref="B42:B43"/>
    <mergeCell ref="C42:C43"/>
    <mergeCell ref="AJ42:AJ43"/>
    <mergeCell ref="AK42:AK43"/>
    <mergeCell ref="AL42:AL43"/>
    <mergeCell ref="AG42:AI43"/>
    <mergeCell ref="AO38:AO39"/>
    <mergeCell ref="B40:B41"/>
    <mergeCell ref="C40:C41"/>
    <mergeCell ref="AJ40:AJ41"/>
    <mergeCell ref="AK40:AK41"/>
    <mergeCell ref="AL40:AL41"/>
    <mergeCell ref="AM40:AM41"/>
    <mergeCell ref="AN40:AN41"/>
    <mergeCell ref="AO40:AO41"/>
    <mergeCell ref="B38:B39"/>
    <mergeCell ref="C38:C39"/>
    <mergeCell ref="AJ38:AJ39"/>
    <mergeCell ref="AK38:AK39"/>
    <mergeCell ref="AL38:AL39"/>
    <mergeCell ref="AM38:AM39"/>
    <mergeCell ref="AN38:AN39"/>
    <mergeCell ref="AN42:AN43"/>
    <mergeCell ref="AO42:AO43"/>
    <mergeCell ref="AF4:AH5"/>
    <mergeCell ref="AG34:AG35"/>
    <mergeCell ref="F34:F35"/>
    <mergeCell ref="H22:H23"/>
    <mergeCell ref="H26:H27"/>
    <mergeCell ref="O28:O29"/>
    <mergeCell ref="R22:T23"/>
    <mergeCell ref="AN36:AN37"/>
    <mergeCell ref="AO36:AO37"/>
    <mergeCell ref="AN30:AN31"/>
    <mergeCell ref="AO30:AO31"/>
    <mergeCell ref="AO28:AO29"/>
    <mergeCell ref="AO24:AO25"/>
    <mergeCell ref="AL20:AL21"/>
    <mergeCell ref="AM20:AM21"/>
    <mergeCell ref="AN20:AN21"/>
    <mergeCell ref="AO20:AO21"/>
    <mergeCell ref="AN18:AN19"/>
    <mergeCell ref="AO18:AO19"/>
    <mergeCell ref="AO12:AO13"/>
    <mergeCell ref="AN6:AN7"/>
    <mergeCell ref="AO6:AO7"/>
    <mergeCell ref="AJ36:AJ37"/>
    <mergeCell ref="AK36:AK37"/>
    <mergeCell ref="Z40:Z41"/>
    <mergeCell ref="AF20:AF21"/>
    <mergeCell ref="U16:V17"/>
    <mergeCell ref="E24:E25"/>
    <mergeCell ref="R26:AI27"/>
    <mergeCell ref="AB30:AI31"/>
    <mergeCell ref="AF38:AI39"/>
    <mergeCell ref="G38:G39"/>
    <mergeCell ref="AM42:AM43"/>
    <mergeCell ref="AL36:AL37"/>
    <mergeCell ref="AM36:AM37"/>
    <mergeCell ref="AM26:AM27"/>
  </mergeCells>
  <phoneticPr fontId="5" type="noConversion"/>
  <conditionalFormatting sqref="E4:E24">
    <cfRule type="expression" dxfId="404" priority="198">
      <formula>OR(WEEKDAY(E$3)=7,WEEKDAY(E$3)=1)</formula>
    </cfRule>
  </conditionalFormatting>
  <conditionalFormatting sqref="E26:E43">
    <cfRule type="expression" dxfId="403" priority="43">
      <formula>OR(WEEKDAY(E$3)=7,WEEKDAY(E$3)=1)</formula>
    </cfRule>
  </conditionalFormatting>
  <conditionalFormatting sqref="E2:AI3">
    <cfRule type="expression" dxfId="402" priority="222">
      <formula>OR(WEEKDAY(E$3)=7,WEEKDAY(E$3)=1)</formula>
    </cfRule>
  </conditionalFormatting>
  <conditionalFormatting sqref="E3:AI3">
    <cfRule type="expression" dxfId="401" priority="223">
      <formula>WEEKDAY(E3)=1</formula>
    </cfRule>
    <cfRule type="expression" dxfId="400" priority="224">
      <formula>WEEKDAY(E3)=7</formula>
    </cfRule>
  </conditionalFormatting>
  <conditionalFormatting sqref="F4:F8">
    <cfRule type="expression" dxfId="399" priority="13">
      <formula>OR(WEEKDAY(F$3)=7,WEEKDAY(F$3)=1)</formula>
    </cfRule>
  </conditionalFormatting>
  <conditionalFormatting sqref="F10">
    <cfRule type="expression" dxfId="398" priority="514">
      <formula>OR(WEEKDAY(F$3)=7,WEEKDAY(F$3)=1)</formula>
    </cfRule>
  </conditionalFormatting>
  <conditionalFormatting sqref="F12:F15">
    <cfRule type="expression" dxfId="397" priority="746">
      <formula>OR(WEEKDAY(F$3)=7,WEEKDAY(F$3)=1)</formula>
    </cfRule>
  </conditionalFormatting>
  <conditionalFormatting sqref="F18:F29">
    <cfRule type="expression" dxfId="396" priority="6">
      <formula>OR(WEEKDAY(F$3)=7,WEEKDAY(F$3)=1)</formula>
    </cfRule>
  </conditionalFormatting>
  <conditionalFormatting sqref="F32:F34">
    <cfRule type="expression" dxfId="395" priority="59">
      <formula>OR(WEEKDAY(F$3)=7,WEEKDAY(F$3)=1)</formula>
    </cfRule>
  </conditionalFormatting>
  <conditionalFormatting sqref="F36:F38">
    <cfRule type="expression" dxfId="394" priority="461">
      <formula>OR(WEEKDAY(F$3)=7,WEEKDAY(F$3)=1)</formula>
    </cfRule>
  </conditionalFormatting>
  <conditionalFormatting sqref="F42:F43">
    <cfRule type="expression" dxfId="393" priority="252">
      <formula>OR(WEEKDAY(F$3)=7,WEEKDAY(F$3)=1)</formula>
    </cfRule>
  </conditionalFormatting>
  <conditionalFormatting sqref="G15:G38">
    <cfRule type="expression" dxfId="392" priority="27">
      <formula>OR(WEEKDAY(G$3)=7,WEEKDAY(G$3)=1)</formula>
    </cfRule>
  </conditionalFormatting>
  <conditionalFormatting sqref="G40:G43">
    <cfRule type="expression" dxfId="391" priority="428">
      <formula>OR(WEEKDAY(G$3)=7,WEEKDAY(G$3)=1)</formula>
    </cfRule>
  </conditionalFormatting>
  <conditionalFormatting sqref="G4:H14">
    <cfRule type="expression" dxfId="390" priority="12">
      <formula>OR(WEEKDAY(G$3)=7,WEEKDAY(G$3)=1)</formula>
    </cfRule>
  </conditionalFormatting>
  <conditionalFormatting sqref="H15:H22">
    <cfRule type="expression" dxfId="389" priority="36">
      <formula>OR(WEEKDAY(H$3)=7,WEEKDAY(H$3)=1)</formula>
    </cfRule>
  </conditionalFormatting>
  <conditionalFormatting sqref="H24:H26">
    <cfRule type="expression" dxfId="388" priority="2">
      <formula>OR(WEEKDAY(H$3)=7,WEEKDAY(H$3)=1)</formula>
    </cfRule>
  </conditionalFormatting>
  <conditionalFormatting sqref="H28:H29">
    <cfRule type="expression" dxfId="387" priority="270">
      <formula>OR(WEEKDAY(H$3)=7,WEEKDAY(H$3)=1)</formula>
    </cfRule>
  </conditionalFormatting>
  <conditionalFormatting sqref="H32:H43">
    <cfRule type="expression" dxfId="386" priority="15">
      <formula>OR(WEEKDAY(H$3)=7,WEEKDAY(H$3)=1)</formula>
    </cfRule>
  </conditionalFormatting>
  <conditionalFormatting sqref="I4:L43">
    <cfRule type="expression" dxfId="385" priority="7">
      <formula>OR(WEEKDAY(I$3)=7,WEEKDAY(I$3)=1)</formula>
    </cfRule>
  </conditionalFormatting>
  <conditionalFormatting sqref="M4:M15">
    <cfRule type="expression" dxfId="384" priority="16">
      <formula>OR(WEEKDAY(M$3)=7,WEEKDAY(M$3)=1)</formula>
    </cfRule>
  </conditionalFormatting>
  <conditionalFormatting sqref="M17:M29">
    <cfRule type="expression" dxfId="383" priority="1">
      <formula>OR(WEEKDAY(M$3)=7,WEEKDAY(M$3)=1)</formula>
    </cfRule>
  </conditionalFormatting>
  <conditionalFormatting sqref="M32:M39">
    <cfRule type="expression" dxfId="382" priority="26">
      <formula>OR(WEEKDAY(M$3)=7,WEEKDAY(M$3)=1)</formula>
    </cfRule>
  </conditionalFormatting>
  <conditionalFormatting sqref="M41:M43">
    <cfRule type="expression" dxfId="381" priority="229">
      <formula>OR(WEEKDAY(M$3)=7,WEEKDAY(M$3)=1)</formula>
    </cfRule>
  </conditionalFormatting>
  <conditionalFormatting sqref="N15:N16">
    <cfRule type="expression" dxfId="380" priority="62">
      <formula>OR(WEEKDAY(N$3)=7,WEEKDAY(N$3)=1)</formula>
    </cfRule>
  </conditionalFormatting>
  <conditionalFormatting sqref="N18:N21">
    <cfRule type="expression" dxfId="379" priority="652">
      <formula>OR(WEEKDAY(N$3)=7,WEEKDAY(N$3)=1)</formula>
    </cfRule>
  </conditionalFormatting>
  <conditionalFormatting sqref="N23:N29">
    <cfRule type="expression" dxfId="378" priority="3">
      <formula>OR(WEEKDAY(N$3)=7,WEEKDAY(N$3)=1)</formula>
    </cfRule>
  </conditionalFormatting>
  <conditionalFormatting sqref="N4:O14">
    <cfRule type="expression" dxfId="377" priority="24">
      <formula>OR(WEEKDAY(N$3)=7,WEEKDAY(N$3)=1)</formula>
    </cfRule>
  </conditionalFormatting>
  <conditionalFormatting sqref="N22:O22">
    <cfRule type="expression" dxfId="376" priority="481">
      <formula>OR(WEEKDAY(N$3)=7,WEEKDAY(N$3)=1)</formula>
    </cfRule>
  </conditionalFormatting>
  <conditionalFormatting sqref="N32:O43">
    <cfRule type="expression" dxfId="375" priority="269">
      <formula>OR(WEEKDAY(N$3)=7,WEEKDAY(N$3)=1)</formula>
    </cfRule>
  </conditionalFormatting>
  <conditionalFormatting sqref="O15:O20">
    <cfRule type="expression" dxfId="374" priority="267">
      <formula>OR(WEEKDAY(O$3)=7,WEEKDAY(O$3)=1)</formula>
    </cfRule>
  </conditionalFormatting>
  <conditionalFormatting sqref="O23:O28">
    <cfRule type="expression" dxfId="373" priority="48">
      <formula>OR(WEEKDAY(O$3)=7,WEEKDAY(O$3)=1)</formula>
    </cfRule>
  </conditionalFormatting>
  <conditionalFormatting sqref="P4:Q41">
    <cfRule type="expression" dxfId="372" priority="89">
      <formula>OR(WEEKDAY(P$3)=7,WEEKDAY(P$3)=1)</formula>
    </cfRule>
  </conditionalFormatting>
  <conditionalFormatting sqref="P42:S43">
    <cfRule type="expression" dxfId="371" priority="94">
      <formula>OR(WEEKDAY(P$3)=7,WEEKDAY(P$3)=1)</formula>
    </cfRule>
  </conditionalFormatting>
  <conditionalFormatting sqref="R22">
    <cfRule type="expression" dxfId="370" priority="54">
      <formula>OR(WEEKDAY(R$3)=7,WEEKDAY(R$3)=1)</formula>
    </cfRule>
  </conditionalFormatting>
  <conditionalFormatting sqref="R26">
    <cfRule type="expression" dxfId="369" priority="343">
      <formula>OR(WEEKDAY(R$3)=7,WEEKDAY(R$3)=1)</formula>
    </cfRule>
  </conditionalFormatting>
  <conditionalFormatting sqref="R4:S21">
    <cfRule type="expression" dxfId="368" priority="341">
      <formula>OR(WEEKDAY(R$3)=7,WEEKDAY(R$3)=1)</formula>
    </cfRule>
  </conditionalFormatting>
  <conditionalFormatting sqref="R24:S25">
    <cfRule type="expression" dxfId="367" priority="191">
      <formula>OR(WEEKDAY(R$3)=7,WEEKDAY(R$3)=1)</formula>
    </cfRule>
  </conditionalFormatting>
  <conditionalFormatting sqref="R28:S41">
    <cfRule type="expression" dxfId="366" priority="21">
      <formula>OR(WEEKDAY(R$3)=7,WEEKDAY(R$3)=1)</formula>
    </cfRule>
  </conditionalFormatting>
  <conditionalFormatting sqref="T4:T15">
    <cfRule type="expression" dxfId="365" priority="248">
      <formula>OR(WEEKDAY(T$3)=7,WEEKDAY(T$3)=1)</formula>
    </cfRule>
  </conditionalFormatting>
  <conditionalFormatting sqref="T17:T21">
    <cfRule type="expression" dxfId="364" priority="30">
      <formula>OR(WEEKDAY(T$3)=7,WEEKDAY(T$3)=1)</formula>
    </cfRule>
  </conditionalFormatting>
  <conditionalFormatting sqref="T32:T39">
    <cfRule type="expression" dxfId="363" priority="450">
      <formula>OR(WEEKDAY(T$3)=7,WEEKDAY(T$3)=1)</formula>
    </cfRule>
  </conditionalFormatting>
  <conditionalFormatting sqref="T41:T43">
    <cfRule type="expression" dxfId="362" priority="419">
      <formula>OR(WEEKDAY(T$3)=7,WEEKDAY(T$3)=1)</formula>
    </cfRule>
  </conditionalFormatting>
  <conditionalFormatting sqref="T28:U30">
    <cfRule type="expression" dxfId="361" priority="255">
      <formula>OR(WEEKDAY(T$3)=7,WEEKDAY(T$3)=1)</formula>
    </cfRule>
  </conditionalFormatting>
  <conditionalFormatting sqref="T25:V25">
    <cfRule type="expression" dxfId="360" priority="202">
      <formula>OR(WEEKDAY(T$3)=7,WEEKDAY(T$3)=1)</formula>
    </cfRule>
  </conditionalFormatting>
  <conditionalFormatting sqref="U5:U16">
    <cfRule type="expression" dxfId="359" priority="34">
      <formula>OR(WEEKDAY(U$3)=7,WEEKDAY(U$3)=1)</formula>
    </cfRule>
  </conditionalFormatting>
  <conditionalFormatting sqref="U32:U43">
    <cfRule type="expression" dxfId="358" priority="66">
      <formula>OR(WEEKDAY(U$3)=7,WEEKDAY(U$3)=1)</formula>
    </cfRule>
  </conditionalFormatting>
  <conditionalFormatting sqref="U22:V24">
    <cfRule type="expression" dxfId="357" priority="204">
      <formula>OR(WEEKDAY(U$3)=7,WEEKDAY(U$3)=1)</formula>
    </cfRule>
  </conditionalFormatting>
  <conditionalFormatting sqref="U4:X4">
    <cfRule type="expression" dxfId="356" priority="636">
      <formula>OR(WEEKDAY(U$3)=7,WEEKDAY(U$3)=1)</formula>
    </cfRule>
  </conditionalFormatting>
  <conditionalFormatting sqref="U18:X21">
    <cfRule type="expression" dxfId="355" priority="121">
      <formula>OR(WEEKDAY(U$3)=7,WEEKDAY(U$3)=1)</formula>
    </cfRule>
  </conditionalFormatting>
  <conditionalFormatting sqref="V5:V15">
    <cfRule type="expression" dxfId="354" priority="38">
      <formula>OR(WEEKDAY(V$3)=7,WEEKDAY(V$3)=1)</formula>
    </cfRule>
  </conditionalFormatting>
  <conditionalFormatting sqref="V32:V37">
    <cfRule type="expression" dxfId="353" priority="247">
      <formula>OR(WEEKDAY(V$3)=7,WEEKDAY(V$3)=1)</formula>
    </cfRule>
  </conditionalFormatting>
  <conditionalFormatting sqref="V39:V43">
    <cfRule type="expression" dxfId="352" priority="423">
      <formula>OR(WEEKDAY(V$3)=7,WEEKDAY(V$3)=1)</formula>
    </cfRule>
  </conditionalFormatting>
  <conditionalFormatting sqref="V28:X29">
    <cfRule type="expression" dxfId="351" priority="119">
      <formula>OR(WEEKDAY(V$3)=7,WEEKDAY(V$3)=1)</formula>
    </cfRule>
  </conditionalFormatting>
  <conditionalFormatting sqref="W5:X17">
    <cfRule type="expression" dxfId="350" priority="245">
      <formula>OR(WEEKDAY(W$3)=7,WEEKDAY(W$3)=1)</formula>
    </cfRule>
  </conditionalFormatting>
  <conditionalFormatting sqref="W22:X25">
    <cfRule type="expression" dxfId="349" priority="115">
      <formula>OR(WEEKDAY(W$3)=7,WEEKDAY(W$3)=1)</formula>
    </cfRule>
  </conditionalFormatting>
  <conditionalFormatting sqref="W30:X41">
    <cfRule type="expression" dxfId="348" priority="79">
      <formula>OR(WEEKDAY(W$3)=7,WEEKDAY(W$3)=1)</formula>
    </cfRule>
  </conditionalFormatting>
  <conditionalFormatting sqref="W42:Z43">
    <cfRule type="expression" dxfId="347" priority="84">
      <formula>OR(WEEKDAY(W$3)=7,WEEKDAY(W$3)=1)</formula>
    </cfRule>
  </conditionalFormatting>
  <conditionalFormatting sqref="Y40:Y41">
    <cfRule type="expression" dxfId="346" priority="288">
      <formula>OR(WEEKDAY(Y$3)=7,WEEKDAY(Y$3)=1)</formula>
    </cfRule>
  </conditionalFormatting>
  <conditionalFormatting sqref="Y28:Z39">
    <cfRule type="expression" dxfId="345" priority="289">
      <formula>OR(WEEKDAY(Y$3)=7,WEEKDAY(Y$3)=1)</formula>
    </cfRule>
  </conditionalFormatting>
  <conditionalFormatting sqref="Y4:AA25">
    <cfRule type="expression" dxfId="344" priority="32">
      <formula>OR(WEEKDAY(Y$3)=7,WEEKDAY(Y$3)=1)</formula>
    </cfRule>
  </conditionalFormatting>
  <conditionalFormatting sqref="Z40">
    <cfRule type="expression" dxfId="343" priority="51">
      <formula>OR(WEEKDAY(Z$3)=7,WEEKDAY(Z$3)=1)</formula>
    </cfRule>
  </conditionalFormatting>
  <conditionalFormatting sqref="AA28:AA43">
    <cfRule type="expression" dxfId="342" priority="22">
      <formula>OR(WEEKDAY(AA$3)=7,WEEKDAY(AA$3)=1)</formula>
    </cfRule>
  </conditionalFormatting>
  <conditionalFormatting sqref="AB4:AB12">
    <cfRule type="expression" dxfId="341" priority="262">
      <formula>OR(WEEKDAY(AB$3)=7,WEEKDAY(AB$3)=1)</formula>
    </cfRule>
  </conditionalFormatting>
  <conditionalFormatting sqref="AB14:AB21">
    <cfRule type="expression" dxfId="340" priority="10">
      <formula>OR(WEEKDAY(AB$3)=7,WEEKDAY(AB$3)=1)</formula>
    </cfRule>
  </conditionalFormatting>
  <conditionalFormatting sqref="AB28:AE29">
    <cfRule type="expression" dxfId="339" priority="109">
      <formula>OR(WEEKDAY(AB$3)=7,WEEKDAY(AB$3)=1)</formula>
    </cfRule>
  </conditionalFormatting>
  <conditionalFormatting sqref="AB32:AE43">
    <cfRule type="expression" dxfId="338" priority="28">
      <formula>OR(WEEKDAY(AB$3)=7,WEEKDAY(AB$3)=1)</formula>
    </cfRule>
  </conditionalFormatting>
  <conditionalFormatting sqref="AB22:AG25">
    <cfRule type="expression" dxfId="337" priority="105">
      <formula>OR(WEEKDAY(AB$3)=7,WEEKDAY(AB$3)=1)</formula>
    </cfRule>
  </conditionalFormatting>
  <conditionalFormatting sqref="AC4:AC14">
    <cfRule type="expression" dxfId="336" priority="232">
      <formula>OR(WEEKDAY(AC$3)=7,WEEKDAY(AC$3)=1)</formula>
    </cfRule>
  </conditionalFormatting>
  <conditionalFormatting sqref="AC16:AC21">
    <cfRule type="expression" dxfId="335" priority="234">
      <formula>OR(WEEKDAY(AC$3)=7,WEEKDAY(AC$3)=1)</formula>
    </cfRule>
  </conditionalFormatting>
  <conditionalFormatting sqref="AD5:AE21">
    <cfRule type="expression" dxfId="334" priority="111">
      <formula>OR(WEEKDAY(AD$3)=7,WEEKDAY(AD$3)=1)</formula>
    </cfRule>
  </conditionalFormatting>
  <conditionalFormatting sqref="AD4:AF4">
    <cfRule type="expression" dxfId="333" priority="61">
      <formula>OR(WEEKDAY(AD$3)=7,WEEKDAY(AD$3)=1)</formula>
    </cfRule>
  </conditionalFormatting>
  <conditionalFormatting sqref="AF20">
    <cfRule type="expression" dxfId="332" priority="50">
      <formula>OR(WEEKDAY(AF$3)=7,WEEKDAY(AF$3)=1)</formula>
    </cfRule>
  </conditionalFormatting>
  <conditionalFormatting sqref="AF28">
    <cfRule type="expression" dxfId="331" priority="53">
      <formula>OR(WEEKDAY(AF$3)=7,WEEKDAY(AF$3)=1)</formula>
    </cfRule>
  </conditionalFormatting>
  <conditionalFormatting sqref="AF34:AF35">
    <cfRule type="expression" dxfId="330" priority="285">
      <formula>OR(WEEKDAY(AF$3)=7,WEEKDAY(AF$3)=1)</formula>
    </cfRule>
  </conditionalFormatting>
  <conditionalFormatting sqref="AF38">
    <cfRule type="expression" dxfId="329" priority="281">
      <formula>OR(WEEKDAY(AF$3)=7,WEEKDAY(AF$3)=1)</formula>
    </cfRule>
  </conditionalFormatting>
  <conditionalFormatting sqref="AF43">
    <cfRule type="expression" dxfId="328" priority="42">
      <formula>OR(WEEKDAY(AF$3)=7,WEEKDAY(AF$3)=1)</formula>
    </cfRule>
  </conditionalFormatting>
  <conditionalFormatting sqref="AF6:AG19">
    <cfRule type="expression" dxfId="327" priority="9">
      <formula>OR(WEEKDAY(AF$3)=7,WEEKDAY(AF$3)=1)</formula>
    </cfRule>
  </conditionalFormatting>
  <conditionalFormatting sqref="AF36:AG37">
    <cfRule type="expression" dxfId="326" priority="282">
      <formula>OR(WEEKDAY(AF$3)=7,WEEKDAY(AF$3)=1)</formula>
    </cfRule>
  </conditionalFormatting>
  <conditionalFormatting sqref="AF40:AG42">
    <cfRule type="expression" dxfId="325" priority="279">
      <formula>OR(WEEKDAY(AF$3)=7,WEEKDAY(AF$3)=1)</formula>
    </cfRule>
  </conditionalFormatting>
  <conditionalFormatting sqref="AF32:AI33">
    <cfRule type="expression" dxfId="324" priority="283">
      <formula>OR(WEEKDAY(AF$3)=7,WEEKDAY(AF$3)=1)</formula>
    </cfRule>
  </conditionalFormatting>
  <conditionalFormatting sqref="AG20:AG21">
    <cfRule type="expression" dxfId="323" priority="317">
      <formula>OR(WEEKDAY(AG$3)=7,WEEKDAY(AG$3)=1)</formula>
    </cfRule>
  </conditionalFormatting>
  <conditionalFormatting sqref="AG34">
    <cfRule type="expression" dxfId="322" priority="60">
      <formula>OR(WEEKDAY(AG$3)=7,WEEKDAY(AG$3)=1)</formula>
    </cfRule>
  </conditionalFormatting>
  <conditionalFormatting sqref="AH6:AI7">
    <cfRule type="expression" dxfId="321" priority="857">
      <formula>OR(WEEKDAY(AH$3)=7,WEEKDAY(AH$3)=1)</formula>
    </cfRule>
  </conditionalFormatting>
  <conditionalFormatting sqref="AH9:AI10">
    <cfRule type="expression" dxfId="320" priority="500">
      <formula>OR(WEEKDAY(AH$3)=7,WEEKDAY(AH$3)=1)</formula>
    </cfRule>
  </conditionalFormatting>
  <conditionalFormatting sqref="AH18:AI20">
    <cfRule type="expression" dxfId="319" priority="259">
      <formula>OR(WEEKDAY(AH$3)=7,WEEKDAY(AH$3)=1)</formula>
    </cfRule>
  </conditionalFormatting>
  <conditionalFormatting sqref="AH23:AI23">
    <cfRule type="expression" dxfId="318" priority="468">
      <formula>OR(WEEKDAY(AH$3)=7,WEEKDAY(AH$3)=1)</formula>
    </cfRule>
  </conditionalFormatting>
  <conditionalFormatting sqref="AH25:AI25">
    <cfRule type="expression" dxfId="317" priority="251">
      <formula>OR(WEEKDAY(AH$3)=7,WEEKDAY(AH$3)=1)</formula>
    </cfRule>
  </conditionalFormatting>
  <conditionalFormatting sqref="AI4:AI5">
    <cfRule type="expression" dxfId="316" priority="814">
      <formula>OR(WEEKDAY(AI$3)=7,WEEKDAY(AI$3)=1)</formula>
    </cfRule>
  </conditionalFormatting>
  <pageMargins left="0.25" right="0.25" top="0.75" bottom="0.75" header="0.3" footer="0.3"/>
  <pageSetup paperSize="9" scale="49" fitToHeight="0" orientation="landscape" cellComments="asDisplaye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2A7AE-667E-4FEF-85BD-43C02D3F6127}">
  <sheetPr>
    <pageSetUpPr fitToPage="1"/>
  </sheetPr>
  <dimension ref="A1:BP40"/>
  <sheetViews>
    <sheetView topLeftCell="B1" zoomScale="85" zoomScaleNormal="85" workbookViewId="0">
      <pane xSplit="2" ySplit="2" topLeftCell="D15" activePane="bottomRight" state="frozen"/>
      <selection activeCell="B1" sqref="B1"/>
      <selection pane="topRight" activeCell="D1" sqref="D1"/>
      <selection pane="bottomLeft" activeCell="B3" sqref="B3"/>
      <selection pane="bottomRight" activeCell="I35" sqref="I35"/>
    </sheetView>
  </sheetViews>
  <sheetFormatPr defaultColWidth="9" defaultRowHeight="15.6" x14ac:dyDescent="0.4"/>
  <cols>
    <col min="1" max="1" width="17.19921875" style="27" customWidth="1"/>
    <col min="2" max="2" width="5.8984375" style="27" customWidth="1"/>
    <col min="3" max="3" width="13" style="35" customWidth="1"/>
    <col min="4" max="4" width="7.3984375" style="35" customWidth="1"/>
    <col min="5" max="35" width="5.3984375" style="27" customWidth="1"/>
    <col min="36" max="38" width="9" style="27" customWidth="1"/>
    <col min="39" max="39" width="9.59765625" style="36" customWidth="1"/>
    <col min="40" max="40" width="9" style="27"/>
    <col min="41" max="41" width="10" style="27" bestFit="1" customWidth="1"/>
    <col min="42" max="16384" width="9" style="27"/>
  </cols>
  <sheetData>
    <row r="1" spans="1:68" s="15" customFormat="1" ht="36.75" customHeight="1" thickBot="1" x14ac:dyDescent="0.45">
      <c r="A1" s="130">
        <v>45078</v>
      </c>
      <c r="B1" s="130"/>
      <c r="C1" s="131"/>
      <c r="D1" s="132">
        <v>45870</v>
      </c>
      <c r="E1" s="133"/>
      <c r="F1" s="133"/>
      <c r="G1" s="133"/>
      <c r="H1" s="133"/>
      <c r="I1" s="13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M1" s="16"/>
    </row>
    <row r="2" spans="1:68" s="23" customFormat="1" ht="21.75" customHeight="1" x14ac:dyDescent="0.4">
      <c r="A2" s="192" t="s">
        <v>37</v>
      </c>
      <c r="B2" s="135" t="s">
        <v>38</v>
      </c>
      <c r="C2" s="139" t="s">
        <v>39</v>
      </c>
      <c r="D2" s="64" t="s">
        <v>40</v>
      </c>
      <c r="E2" s="18">
        <f>D1</f>
        <v>45870</v>
      </c>
      <c r="F2" s="19">
        <f>E2+1</f>
        <v>45871</v>
      </c>
      <c r="G2" s="19">
        <f t="shared" ref="G2:AI2" si="0">F2+1</f>
        <v>45872</v>
      </c>
      <c r="H2" s="19">
        <f t="shared" si="0"/>
        <v>45873</v>
      </c>
      <c r="I2" s="19">
        <f t="shared" si="0"/>
        <v>45874</v>
      </c>
      <c r="J2" s="19">
        <f t="shared" si="0"/>
        <v>45875</v>
      </c>
      <c r="K2" s="19">
        <f t="shared" si="0"/>
        <v>45876</v>
      </c>
      <c r="L2" s="19">
        <f t="shared" si="0"/>
        <v>45877</v>
      </c>
      <c r="M2" s="19">
        <f t="shared" si="0"/>
        <v>45878</v>
      </c>
      <c r="N2" s="19">
        <f t="shared" si="0"/>
        <v>45879</v>
      </c>
      <c r="O2" s="19">
        <f t="shared" si="0"/>
        <v>45880</v>
      </c>
      <c r="P2" s="19">
        <f t="shared" si="0"/>
        <v>45881</v>
      </c>
      <c r="Q2" s="19">
        <f t="shared" si="0"/>
        <v>45882</v>
      </c>
      <c r="R2" s="19">
        <f t="shared" si="0"/>
        <v>45883</v>
      </c>
      <c r="S2" s="66">
        <f t="shared" si="0"/>
        <v>45884</v>
      </c>
      <c r="T2" s="19">
        <f t="shared" si="0"/>
        <v>45885</v>
      </c>
      <c r="U2" s="19">
        <f t="shared" si="0"/>
        <v>45886</v>
      </c>
      <c r="V2" s="19">
        <f t="shared" si="0"/>
        <v>45887</v>
      </c>
      <c r="W2" s="19">
        <f t="shared" si="0"/>
        <v>45888</v>
      </c>
      <c r="X2" s="19">
        <f t="shared" si="0"/>
        <v>45889</v>
      </c>
      <c r="Y2" s="19">
        <f t="shared" si="0"/>
        <v>45890</v>
      </c>
      <c r="Z2" s="19">
        <f t="shared" si="0"/>
        <v>45891</v>
      </c>
      <c r="AA2" s="20">
        <f t="shared" si="0"/>
        <v>45892</v>
      </c>
      <c r="AB2" s="20">
        <f t="shared" si="0"/>
        <v>45893</v>
      </c>
      <c r="AC2" s="18">
        <f>AB2+1</f>
        <v>45894</v>
      </c>
      <c r="AD2" s="19">
        <f t="shared" si="0"/>
        <v>45895</v>
      </c>
      <c r="AE2" s="19">
        <f t="shared" si="0"/>
        <v>45896</v>
      </c>
      <c r="AF2" s="19">
        <f t="shared" si="0"/>
        <v>45897</v>
      </c>
      <c r="AG2" s="19">
        <f t="shared" si="0"/>
        <v>45898</v>
      </c>
      <c r="AH2" s="19">
        <f t="shared" si="0"/>
        <v>45899</v>
      </c>
      <c r="AI2" s="19">
        <f t="shared" si="0"/>
        <v>45900</v>
      </c>
      <c r="AJ2" s="141" t="s">
        <v>41</v>
      </c>
      <c r="AK2" s="145" t="s">
        <v>42</v>
      </c>
      <c r="AL2" s="147" t="s">
        <v>43</v>
      </c>
      <c r="AM2" s="149" t="s">
        <v>44</v>
      </c>
      <c r="AN2" s="151" t="s">
        <v>45</v>
      </c>
      <c r="AO2" s="153" t="s">
        <v>46</v>
      </c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</row>
    <row r="3" spans="1:68" s="24" customFormat="1" ht="18" thickBot="1" x14ac:dyDescent="0.45">
      <c r="A3" s="193"/>
      <c r="B3" s="136"/>
      <c r="C3" s="140"/>
      <c r="D3" s="65" t="s">
        <v>47</v>
      </c>
      <c r="E3" s="39">
        <f>E2</f>
        <v>45870</v>
      </c>
      <c r="F3" s="40">
        <f t="shared" ref="F3:AI3" si="1">F2</f>
        <v>45871</v>
      </c>
      <c r="G3" s="40">
        <f t="shared" si="1"/>
        <v>45872</v>
      </c>
      <c r="H3" s="40">
        <f t="shared" si="1"/>
        <v>45873</v>
      </c>
      <c r="I3" s="40">
        <f t="shared" si="1"/>
        <v>45874</v>
      </c>
      <c r="J3" s="40">
        <f t="shared" si="1"/>
        <v>45875</v>
      </c>
      <c r="K3" s="40">
        <f t="shared" si="1"/>
        <v>45876</v>
      </c>
      <c r="L3" s="40">
        <f t="shared" si="1"/>
        <v>45877</v>
      </c>
      <c r="M3" s="40">
        <f t="shared" si="1"/>
        <v>45878</v>
      </c>
      <c r="N3" s="40">
        <f t="shared" si="1"/>
        <v>45879</v>
      </c>
      <c r="O3" s="40">
        <f t="shared" si="1"/>
        <v>45880</v>
      </c>
      <c r="P3" s="40">
        <f t="shared" si="1"/>
        <v>45881</v>
      </c>
      <c r="Q3" s="40">
        <f t="shared" si="1"/>
        <v>45882</v>
      </c>
      <c r="R3" s="40">
        <f t="shared" si="1"/>
        <v>45883</v>
      </c>
      <c r="S3" s="73">
        <f t="shared" si="1"/>
        <v>45884</v>
      </c>
      <c r="T3" s="40">
        <f t="shared" si="1"/>
        <v>45885</v>
      </c>
      <c r="U3" s="40">
        <f t="shared" si="1"/>
        <v>45886</v>
      </c>
      <c r="V3" s="40">
        <f t="shared" si="1"/>
        <v>45887</v>
      </c>
      <c r="W3" s="40">
        <f t="shared" si="1"/>
        <v>45888</v>
      </c>
      <c r="X3" s="40">
        <f t="shared" si="1"/>
        <v>45889</v>
      </c>
      <c r="Y3" s="40">
        <f t="shared" si="1"/>
        <v>45890</v>
      </c>
      <c r="Z3" s="40">
        <f t="shared" si="1"/>
        <v>45891</v>
      </c>
      <c r="AA3" s="40">
        <f t="shared" si="1"/>
        <v>45892</v>
      </c>
      <c r="AB3" s="40">
        <f t="shared" si="1"/>
        <v>45893</v>
      </c>
      <c r="AC3" s="40">
        <f t="shared" si="1"/>
        <v>45894</v>
      </c>
      <c r="AD3" s="40">
        <f t="shared" si="1"/>
        <v>45895</v>
      </c>
      <c r="AE3" s="40">
        <f t="shared" si="1"/>
        <v>45896</v>
      </c>
      <c r="AF3" s="40">
        <f t="shared" si="1"/>
        <v>45897</v>
      </c>
      <c r="AG3" s="40">
        <f t="shared" si="1"/>
        <v>45898</v>
      </c>
      <c r="AH3" s="40">
        <f t="shared" si="1"/>
        <v>45899</v>
      </c>
      <c r="AI3" s="40">
        <f t="shared" si="1"/>
        <v>45900</v>
      </c>
      <c r="AJ3" s="142"/>
      <c r="AK3" s="146"/>
      <c r="AL3" s="148"/>
      <c r="AM3" s="150"/>
      <c r="AN3" s="152"/>
      <c r="AO3" s="154"/>
    </row>
    <row r="4" spans="1:68" ht="21.75" customHeight="1" thickBot="1" x14ac:dyDescent="0.45">
      <c r="A4" s="155" t="s">
        <v>48</v>
      </c>
      <c r="B4" s="143" t="s">
        <v>67</v>
      </c>
      <c r="C4" s="159" t="s">
        <v>50</v>
      </c>
      <c r="D4" s="33" t="s">
        <v>51</v>
      </c>
      <c r="E4" s="34" t="s">
        <v>405</v>
      </c>
      <c r="F4" s="34" t="s">
        <v>70</v>
      </c>
      <c r="G4" s="34" t="s">
        <v>70</v>
      </c>
      <c r="H4" s="34" t="s">
        <v>149</v>
      </c>
      <c r="I4" s="34" t="s">
        <v>221</v>
      </c>
      <c r="J4" s="34" t="s">
        <v>316</v>
      </c>
      <c r="K4" s="34" t="s">
        <v>99</v>
      </c>
      <c r="L4" s="34" t="s">
        <v>316</v>
      </c>
      <c r="M4" s="34" t="s">
        <v>70</v>
      </c>
      <c r="N4" s="34" t="s">
        <v>70</v>
      </c>
      <c r="O4" s="34" t="s">
        <v>182</v>
      </c>
      <c r="P4" s="34" t="s">
        <v>549</v>
      </c>
      <c r="Q4" s="34" t="s">
        <v>265</v>
      </c>
      <c r="R4" s="34" t="s">
        <v>381</v>
      </c>
      <c r="S4" s="67" t="s">
        <v>70</v>
      </c>
      <c r="T4" s="34" t="s">
        <v>70</v>
      </c>
      <c r="U4" s="34" t="s">
        <v>70</v>
      </c>
      <c r="V4" s="34" t="s">
        <v>405</v>
      </c>
      <c r="W4" s="34" t="s">
        <v>223</v>
      </c>
      <c r="X4" s="34" t="s">
        <v>236</v>
      </c>
      <c r="Y4" s="34" t="s">
        <v>149</v>
      </c>
      <c r="Z4" s="34" t="s">
        <v>236</v>
      </c>
      <c r="AA4" s="34" t="s">
        <v>70</v>
      </c>
      <c r="AB4" s="34" t="s">
        <v>70</v>
      </c>
      <c r="AC4" s="34" t="s">
        <v>320</v>
      </c>
      <c r="AD4" s="34" t="s">
        <v>215</v>
      </c>
      <c r="AE4" s="34" t="s">
        <v>365</v>
      </c>
      <c r="AF4" s="34" t="s">
        <v>231</v>
      </c>
      <c r="AG4" s="34" t="s">
        <v>368</v>
      </c>
      <c r="AH4" s="34" t="s">
        <v>70</v>
      </c>
      <c r="AI4" s="34" t="s">
        <v>70</v>
      </c>
      <c r="AJ4" s="160" t="s">
        <v>414</v>
      </c>
      <c r="AK4" s="161"/>
      <c r="AL4" s="108"/>
      <c r="AM4" s="110"/>
      <c r="AN4" s="183">
        <f>(E4+H4+I4+J4+K4+L4+O4+P4+Q4+R4+V4+W4+X4+Y4+Z4+AC4+AD4+AE4+AF4+AG4)/20</f>
        <v>0.31520833333333331</v>
      </c>
      <c r="AO4" s="105">
        <f>(E5+H5+I5+J5+K5+L5+O5+P5+Q5+R5+V5+W5+Y5+Z5+AC5+AD5+AE5+AF5+AG5)/19</f>
        <v>0.78260233918128652</v>
      </c>
      <c r="AQ4" s="24"/>
    </row>
    <row r="5" spans="1:68" ht="21.75" customHeight="1" thickTop="1" thickBot="1" x14ac:dyDescent="0.45">
      <c r="A5" s="156"/>
      <c r="B5" s="118"/>
      <c r="C5" s="120"/>
      <c r="D5" s="25" t="s">
        <v>52</v>
      </c>
      <c r="E5" s="26" t="s">
        <v>80</v>
      </c>
      <c r="F5" s="26" t="s">
        <v>70</v>
      </c>
      <c r="G5" s="26" t="s">
        <v>70</v>
      </c>
      <c r="H5" s="26" t="s">
        <v>190</v>
      </c>
      <c r="I5" s="26" t="s">
        <v>102</v>
      </c>
      <c r="J5" s="26" t="s">
        <v>98</v>
      </c>
      <c r="K5" s="26" t="s">
        <v>165</v>
      </c>
      <c r="L5" s="26" t="s">
        <v>147</v>
      </c>
      <c r="M5" s="26" t="s">
        <v>70</v>
      </c>
      <c r="N5" s="26" t="s">
        <v>70</v>
      </c>
      <c r="O5" s="26" t="s">
        <v>84</v>
      </c>
      <c r="P5" s="26" t="s">
        <v>87</v>
      </c>
      <c r="Q5" s="26" t="s">
        <v>90</v>
      </c>
      <c r="R5" s="26" t="s">
        <v>123</v>
      </c>
      <c r="S5" s="68" t="s">
        <v>70</v>
      </c>
      <c r="T5" s="26" t="s">
        <v>70</v>
      </c>
      <c r="U5" s="26" t="s">
        <v>70</v>
      </c>
      <c r="V5" s="26" t="s">
        <v>147</v>
      </c>
      <c r="W5" s="26" t="s">
        <v>102</v>
      </c>
      <c r="X5" s="26" t="s">
        <v>252</v>
      </c>
      <c r="Y5" s="26" t="s">
        <v>158</v>
      </c>
      <c r="Z5" s="26" t="s">
        <v>91</v>
      </c>
      <c r="AA5" s="26" t="s">
        <v>70</v>
      </c>
      <c r="AB5" s="26" t="s">
        <v>70</v>
      </c>
      <c r="AC5" s="26" t="s">
        <v>151</v>
      </c>
      <c r="AD5" s="26" t="s">
        <v>165</v>
      </c>
      <c r="AE5" s="26" t="s">
        <v>102</v>
      </c>
      <c r="AF5" s="26" t="s">
        <v>81</v>
      </c>
      <c r="AG5" s="26" t="s">
        <v>102</v>
      </c>
      <c r="AH5" s="26" t="s">
        <v>70</v>
      </c>
      <c r="AI5" s="26" t="s">
        <v>70</v>
      </c>
      <c r="AJ5" s="127"/>
      <c r="AK5" s="162"/>
      <c r="AL5" s="194"/>
      <c r="AM5" s="195"/>
      <c r="AN5" s="111"/>
      <c r="AO5" s="181"/>
      <c r="AP5" s="28"/>
    </row>
    <row r="6" spans="1:68" ht="21.75" customHeight="1" thickTop="1" thickBot="1" x14ac:dyDescent="0.45">
      <c r="A6" s="156"/>
      <c r="B6" s="118" t="s">
        <v>49</v>
      </c>
      <c r="C6" s="120" t="s">
        <v>424</v>
      </c>
      <c r="D6" s="25" t="s">
        <v>51</v>
      </c>
      <c r="E6" s="26" t="s">
        <v>135</v>
      </c>
      <c r="F6" s="26" t="s">
        <v>70</v>
      </c>
      <c r="G6" s="26" t="s">
        <v>70</v>
      </c>
      <c r="H6" s="26" t="s">
        <v>179</v>
      </c>
      <c r="I6" s="26" t="s">
        <v>109</v>
      </c>
      <c r="J6" s="26" t="s">
        <v>69</v>
      </c>
      <c r="K6" s="26" t="s">
        <v>74</v>
      </c>
      <c r="L6" s="26" t="s">
        <v>134</v>
      </c>
      <c r="M6" s="26" t="s">
        <v>70</v>
      </c>
      <c r="N6" s="26" t="s">
        <v>70</v>
      </c>
      <c r="O6" s="26" t="s">
        <v>119</v>
      </c>
      <c r="P6" s="26" t="s">
        <v>371</v>
      </c>
      <c r="Q6" s="26" t="s">
        <v>300</v>
      </c>
      <c r="R6" s="26" t="s">
        <v>432</v>
      </c>
      <c r="S6" s="68" t="s">
        <v>70</v>
      </c>
      <c r="T6" s="26" t="s">
        <v>70</v>
      </c>
      <c r="U6" s="26" t="s">
        <v>70</v>
      </c>
      <c r="V6" s="247" t="s">
        <v>520</v>
      </c>
      <c r="W6" s="248"/>
      <c r="X6" s="249"/>
      <c r="Y6" s="26" t="s">
        <v>311</v>
      </c>
      <c r="Z6" s="26" t="s">
        <v>139</v>
      </c>
      <c r="AA6" s="26" t="s">
        <v>70</v>
      </c>
      <c r="AB6" s="26" t="s">
        <v>70</v>
      </c>
      <c r="AC6" s="26" t="s">
        <v>143</v>
      </c>
      <c r="AD6" s="26" t="s">
        <v>134</v>
      </c>
      <c r="AE6" s="26" t="s">
        <v>93</v>
      </c>
      <c r="AF6" s="26" t="s">
        <v>152</v>
      </c>
      <c r="AG6" s="26" t="s">
        <v>152</v>
      </c>
      <c r="AH6" s="26" t="s">
        <v>70</v>
      </c>
      <c r="AI6" s="26" t="s">
        <v>70</v>
      </c>
      <c r="AJ6" s="127" t="s">
        <v>282</v>
      </c>
      <c r="AK6" s="106"/>
      <c r="AL6" s="194"/>
      <c r="AM6" s="195">
        <v>3</v>
      </c>
      <c r="AN6" s="111">
        <f>(E6+H6+I6+J6+K6+L6+O6+P6+Q6+R6+Y6+Z6+AC6+AD6+AE6+AF6+AG6)/17</f>
        <v>0.35498366013071891</v>
      </c>
      <c r="AO6" s="181">
        <f>(E7+H7+I7+J7+K7+L7+O7+P7+Q7+R7+Y7+Z7+AC7+AD7+AE7+AF7+AG7)/17</f>
        <v>0.78484477124183005</v>
      </c>
      <c r="AP6" s="28"/>
    </row>
    <row r="7" spans="1:68" ht="21.75" customHeight="1" thickTop="1" thickBot="1" x14ac:dyDescent="0.45">
      <c r="A7" s="156"/>
      <c r="B7" s="118"/>
      <c r="C7" s="120"/>
      <c r="D7" s="25" t="s">
        <v>52</v>
      </c>
      <c r="E7" s="26" t="s">
        <v>85</v>
      </c>
      <c r="F7" s="26" t="s">
        <v>70</v>
      </c>
      <c r="G7" s="26" t="s">
        <v>70</v>
      </c>
      <c r="H7" s="26" t="s">
        <v>190</v>
      </c>
      <c r="I7" s="26" t="s">
        <v>83</v>
      </c>
      <c r="J7" s="26" t="s">
        <v>98</v>
      </c>
      <c r="K7" s="26" t="s">
        <v>173</v>
      </c>
      <c r="L7" s="26" t="s">
        <v>103</v>
      </c>
      <c r="M7" s="26" t="s">
        <v>70</v>
      </c>
      <c r="N7" s="26" t="s">
        <v>70</v>
      </c>
      <c r="O7" s="26" t="s">
        <v>84</v>
      </c>
      <c r="P7" s="26" t="s">
        <v>87</v>
      </c>
      <c r="Q7" s="26" t="s">
        <v>83</v>
      </c>
      <c r="R7" s="26" t="s">
        <v>123</v>
      </c>
      <c r="S7" s="68" t="s">
        <v>70</v>
      </c>
      <c r="T7" s="26" t="s">
        <v>70</v>
      </c>
      <c r="U7" s="26" t="s">
        <v>70</v>
      </c>
      <c r="V7" s="228"/>
      <c r="W7" s="229"/>
      <c r="X7" s="230"/>
      <c r="Y7" s="26" t="s">
        <v>158</v>
      </c>
      <c r="Z7" s="26" t="s">
        <v>91</v>
      </c>
      <c r="AA7" s="26" t="s">
        <v>70</v>
      </c>
      <c r="AB7" s="26" t="s">
        <v>70</v>
      </c>
      <c r="AC7" s="26" t="s">
        <v>309</v>
      </c>
      <c r="AD7" s="26" t="s">
        <v>165</v>
      </c>
      <c r="AE7" s="26" t="s">
        <v>102</v>
      </c>
      <c r="AF7" s="26" t="s">
        <v>208</v>
      </c>
      <c r="AG7" s="26" t="s">
        <v>101</v>
      </c>
      <c r="AH7" s="26" t="s">
        <v>70</v>
      </c>
      <c r="AI7" s="26" t="s">
        <v>70</v>
      </c>
      <c r="AJ7" s="127"/>
      <c r="AK7" s="106"/>
      <c r="AL7" s="194"/>
      <c r="AM7" s="195"/>
      <c r="AN7" s="111"/>
      <c r="AO7" s="181"/>
      <c r="AP7" s="28"/>
    </row>
    <row r="8" spans="1:68" ht="21.75" customHeight="1" thickTop="1" thickBot="1" x14ac:dyDescent="0.45">
      <c r="A8" s="156"/>
      <c r="B8" s="118" t="s">
        <v>53</v>
      </c>
      <c r="C8" s="120" t="s">
        <v>54</v>
      </c>
      <c r="D8" s="25" t="s">
        <v>51</v>
      </c>
      <c r="E8" s="26" t="s">
        <v>149</v>
      </c>
      <c r="F8" s="26" t="s">
        <v>70</v>
      </c>
      <c r="G8" s="26" t="s">
        <v>70</v>
      </c>
      <c r="H8" s="247" t="s">
        <v>520</v>
      </c>
      <c r="I8" s="248"/>
      <c r="J8" s="249"/>
      <c r="K8" s="26" t="s">
        <v>135</v>
      </c>
      <c r="L8" s="26" t="s">
        <v>149</v>
      </c>
      <c r="M8" s="26" t="s">
        <v>70</v>
      </c>
      <c r="N8" s="26" t="s">
        <v>70</v>
      </c>
      <c r="O8" s="26" t="s">
        <v>161</v>
      </c>
      <c r="P8" s="26" t="s">
        <v>162</v>
      </c>
      <c r="Q8" s="26" t="s">
        <v>68</v>
      </c>
      <c r="R8" s="26" t="s">
        <v>161</v>
      </c>
      <c r="S8" s="68" t="s">
        <v>70</v>
      </c>
      <c r="T8" s="26" t="s">
        <v>70</v>
      </c>
      <c r="U8" s="26" t="s">
        <v>70</v>
      </c>
      <c r="V8" s="26" t="s">
        <v>156</v>
      </c>
      <c r="W8" s="26" t="s">
        <v>149</v>
      </c>
      <c r="X8" s="26" t="s">
        <v>160</v>
      </c>
      <c r="Y8" s="29" t="s">
        <v>163</v>
      </c>
      <c r="Z8" s="26" t="s">
        <v>156</v>
      </c>
      <c r="AA8" s="26" t="s">
        <v>70</v>
      </c>
      <c r="AB8" s="26" t="s">
        <v>70</v>
      </c>
      <c r="AC8" s="26" t="s">
        <v>120</v>
      </c>
      <c r="AD8" s="26" t="s">
        <v>162</v>
      </c>
      <c r="AE8" s="26" t="s">
        <v>156</v>
      </c>
      <c r="AF8" s="26" t="s">
        <v>149</v>
      </c>
      <c r="AG8" s="26" t="s">
        <v>160</v>
      </c>
      <c r="AH8" s="26" t="s">
        <v>70</v>
      </c>
      <c r="AI8" s="26" t="s">
        <v>70</v>
      </c>
      <c r="AJ8" s="112"/>
      <c r="AK8" s="106" t="s">
        <v>282</v>
      </c>
      <c r="AL8" s="194"/>
      <c r="AM8" s="195">
        <v>3</v>
      </c>
      <c r="AN8" s="111">
        <f>(K8+L8+O8+P8+Q8+R8+V8+W8+X8+Y8+Z8+AC8+AD8+AE8+AF8+AG8)/16</f>
        <v>0.3725260416666667</v>
      </c>
      <c r="AO8" s="181">
        <f>(K9+L9+O9+P9+Q9+R9+V9+W9+Y9+Z9+AC9+AD9+AE9+AF9+AG9)/15</f>
        <v>0.76884259259259269</v>
      </c>
    </row>
    <row r="9" spans="1:68" ht="21.75" customHeight="1" thickTop="1" thickBot="1" x14ac:dyDescent="0.45">
      <c r="A9" s="156"/>
      <c r="B9" s="118"/>
      <c r="C9" s="120"/>
      <c r="D9" s="25" t="s">
        <v>52</v>
      </c>
      <c r="E9" s="26" t="s">
        <v>90</v>
      </c>
      <c r="F9" s="26" t="s">
        <v>70</v>
      </c>
      <c r="G9" s="26" t="s">
        <v>70</v>
      </c>
      <c r="H9" s="228"/>
      <c r="I9" s="229"/>
      <c r="J9" s="230"/>
      <c r="K9" s="26" t="s">
        <v>102</v>
      </c>
      <c r="L9" s="26" t="s">
        <v>306</v>
      </c>
      <c r="M9" s="26" t="s">
        <v>70</v>
      </c>
      <c r="N9" s="26" t="s">
        <v>70</v>
      </c>
      <c r="O9" s="26" t="s">
        <v>165</v>
      </c>
      <c r="P9" s="26" t="s">
        <v>85</v>
      </c>
      <c r="Q9" s="26" t="s">
        <v>102</v>
      </c>
      <c r="R9" s="26" t="s">
        <v>102</v>
      </c>
      <c r="S9" s="68" t="s">
        <v>70</v>
      </c>
      <c r="T9" s="26" t="s">
        <v>70</v>
      </c>
      <c r="U9" s="26" t="s">
        <v>70</v>
      </c>
      <c r="V9" s="26" t="s">
        <v>234</v>
      </c>
      <c r="W9" s="26" t="s">
        <v>434</v>
      </c>
      <c r="X9" s="26" t="s">
        <v>104</v>
      </c>
      <c r="Y9" s="26" t="s">
        <v>229</v>
      </c>
      <c r="Z9" s="26" t="s">
        <v>88</v>
      </c>
      <c r="AA9" s="26" t="s">
        <v>70</v>
      </c>
      <c r="AB9" s="26" t="s">
        <v>70</v>
      </c>
      <c r="AC9" s="26" t="s">
        <v>222</v>
      </c>
      <c r="AD9" s="26" t="s">
        <v>184</v>
      </c>
      <c r="AE9" s="26" t="s">
        <v>85</v>
      </c>
      <c r="AF9" s="26" t="s">
        <v>434</v>
      </c>
      <c r="AG9" s="26" t="s">
        <v>473</v>
      </c>
      <c r="AH9" s="26" t="s">
        <v>70</v>
      </c>
      <c r="AI9" s="26" t="s">
        <v>70</v>
      </c>
      <c r="AJ9" s="112"/>
      <c r="AK9" s="106"/>
      <c r="AL9" s="194"/>
      <c r="AM9" s="195"/>
      <c r="AN9" s="111"/>
      <c r="AO9" s="181"/>
    </row>
    <row r="10" spans="1:68" ht="21.75" customHeight="1" thickTop="1" thickBot="1" x14ac:dyDescent="0.45">
      <c r="A10" s="157"/>
      <c r="B10" s="118" t="s">
        <v>53</v>
      </c>
      <c r="C10" s="120" t="s">
        <v>243</v>
      </c>
      <c r="D10" s="25" t="s">
        <v>51</v>
      </c>
      <c r="E10" s="26" t="s">
        <v>75</v>
      </c>
      <c r="F10" s="26" t="s">
        <v>70</v>
      </c>
      <c r="G10" s="26" t="s">
        <v>70</v>
      </c>
      <c r="H10" s="26" t="s">
        <v>73</v>
      </c>
      <c r="I10" s="26" t="s">
        <v>120</v>
      </c>
      <c r="J10" s="26" t="s">
        <v>99</v>
      </c>
      <c r="K10" s="26" t="s">
        <v>78</v>
      </c>
      <c r="L10" s="26" t="s">
        <v>120</v>
      </c>
      <c r="M10" s="26" t="s">
        <v>70</v>
      </c>
      <c r="N10" s="26" t="s">
        <v>70</v>
      </c>
      <c r="O10" s="26" t="s">
        <v>72</v>
      </c>
      <c r="P10" s="247" t="s">
        <v>520</v>
      </c>
      <c r="Q10" s="248"/>
      <c r="R10" s="249"/>
      <c r="S10" s="68" t="s">
        <v>70</v>
      </c>
      <c r="T10" s="26" t="s">
        <v>70</v>
      </c>
      <c r="U10" s="26" t="s">
        <v>70</v>
      </c>
      <c r="V10" s="26" t="s">
        <v>97</v>
      </c>
      <c r="W10" s="26" t="s">
        <v>142</v>
      </c>
      <c r="X10" s="26" t="s">
        <v>75</v>
      </c>
      <c r="Y10" s="26" t="s">
        <v>71</v>
      </c>
      <c r="Z10" s="26" t="s">
        <v>72</v>
      </c>
      <c r="AA10" s="26" t="s">
        <v>70</v>
      </c>
      <c r="AB10" s="26" t="s">
        <v>70</v>
      </c>
      <c r="AC10" s="26" t="s">
        <v>197</v>
      </c>
      <c r="AD10" s="26" t="s">
        <v>97</v>
      </c>
      <c r="AE10" s="26" t="s">
        <v>137</v>
      </c>
      <c r="AF10" s="26" t="s">
        <v>77</v>
      </c>
      <c r="AG10" s="26" t="s">
        <v>76</v>
      </c>
      <c r="AH10" s="26" t="s">
        <v>70</v>
      </c>
      <c r="AI10" s="26" t="s">
        <v>70</v>
      </c>
      <c r="AJ10" s="194"/>
      <c r="AK10" s="106"/>
      <c r="AL10" s="194" t="s">
        <v>282</v>
      </c>
      <c r="AM10" s="200">
        <v>3</v>
      </c>
      <c r="AN10" s="111">
        <f>(E10+H10+I10+J10+K10+L10+O10+V10+W10+X10+Y10+Z10+AC10+AD10+AE10+AF10+AG10)/17</f>
        <v>0.35976307189542478</v>
      </c>
      <c r="AO10" s="181">
        <f>(E11+H11+I11+J11+K11+L11+O11+V11+W11+Y11+Z11+AC11+AD11+AE11+AF11+AG11)/16</f>
        <v>0.78680555555555554</v>
      </c>
    </row>
    <row r="11" spans="1:68" ht="21.75" customHeight="1" thickTop="1" thickBot="1" x14ac:dyDescent="0.45">
      <c r="A11" s="157"/>
      <c r="B11" s="118"/>
      <c r="C11" s="120"/>
      <c r="D11" s="25" t="s">
        <v>52</v>
      </c>
      <c r="E11" s="26" t="s">
        <v>80</v>
      </c>
      <c r="F11" s="26" t="s">
        <v>70</v>
      </c>
      <c r="G11" s="26" t="s">
        <v>70</v>
      </c>
      <c r="H11" s="26" t="s">
        <v>190</v>
      </c>
      <c r="I11" s="26" t="s">
        <v>83</v>
      </c>
      <c r="J11" s="26" t="s">
        <v>98</v>
      </c>
      <c r="K11" s="26" t="s">
        <v>165</v>
      </c>
      <c r="L11" s="26" t="s">
        <v>103</v>
      </c>
      <c r="M11" s="26" t="s">
        <v>70</v>
      </c>
      <c r="N11" s="26" t="s">
        <v>70</v>
      </c>
      <c r="O11" s="26" t="s">
        <v>84</v>
      </c>
      <c r="P11" s="228"/>
      <c r="Q11" s="229"/>
      <c r="R11" s="230"/>
      <c r="S11" s="68" t="s">
        <v>70</v>
      </c>
      <c r="T11" s="26" t="s">
        <v>70</v>
      </c>
      <c r="U11" s="26" t="s">
        <v>70</v>
      </c>
      <c r="V11" s="26" t="s">
        <v>151</v>
      </c>
      <c r="W11" s="26" t="s">
        <v>309</v>
      </c>
      <c r="X11" s="26" t="s">
        <v>252</v>
      </c>
      <c r="Y11" s="26" t="s">
        <v>102</v>
      </c>
      <c r="Z11" s="26" t="s">
        <v>91</v>
      </c>
      <c r="AA11" s="26" t="s">
        <v>70</v>
      </c>
      <c r="AB11" s="26" t="s">
        <v>70</v>
      </c>
      <c r="AC11" s="26" t="s">
        <v>151</v>
      </c>
      <c r="AD11" s="26" t="s">
        <v>165</v>
      </c>
      <c r="AE11" s="26" t="s">
        <v>102</v>
      </c>
      <c r="AF11" s="26" t="s">
        <v>456</v>
      </c>
      <c r="AG11" s="26" t="s">
        <v>88</v>
      </c>
      <c r="AH11" s="26" t="s">
        <v>70</v>
      </c>
      <c r="AI11" s="26" t="s">
        <v>70</v>
      </c>
      <c r="AJ11" s="194"/>
      <c r="AK11" s="106"/>
      <c r="AL11" s="194"/>
      <c r="AM11" s="200"/>
      <c r="AN11" s="111"/>
      <c r="AO11" s="181"/>
    </row>
    <row r="12" spans="1:68" ht="21.75" customHeight="1" thickTop="1" thickBot="1" x14ac:dyDescent="0.45">
      <c r="A12" s="157"/>
      <c r="B12" s="118" t="s">
        <v>56</v>
      </c>
      <c r="C12" s="120" t="s">
        <v>177</v>
      </c>
      <c r="D12" s="25" t="s">
        <v>51</v>
      </c>
      <c r="E12" s="26" t="s">
        <v>470</v>
      </c>
      <c r="F12" s="26" t="s">
        <v>70</v>
      </c>
      <c r="G12" s="26" t="s">
        <v>70</v>
      </c>
      <c r="H12" s="26" t="s">
        <v>470</v>
      </c>
      <c r="I12" s="26" t="s">
        <v>470</v>
      </c>
      <c r="J12" s="26" t="s">
        <v>470</v>
      </c>
      <c r="K12" s="26" t="s">
        <v>470</v>
      </c>
      <c r="L12" s="26" t="s">
        <v>111</v>
      </c>
      <c r="M12" s="26" t="s">
        <v>70</v>
      </c>
      <c r="N12" s="26" t="s">
        <v>70</v>
      </c>
      <c r="O12" s="26" t="s">
        <v>470</v>
      </c>
      <c r="P12" s="26" t="s">
        <v>470</v>
      </c>
      <c r="Q12" s="26" t="s">
        <v>470</v>
      </c>
      <c r="R12" s="26" t="s">
        <v>302</v>
      </c>
      <c r="S12" s="68" t="s">
        <v>70</v>
      </c>
      <c r="T12" s="26" t="s">
        <v>70</v>
      </c>
      <c r="U12" s="26" t="s">
        <v>70</v>
      </c>
      <c r="V12" s="26" t="s">
        <v>477</v>
      </c>
      <c r="W12" s="247" t="s">
        <v>520</v>
      </c>
      <c r="X12" s="248"/>
      <c r="Y12" s="249"/>
      <c r="Z12" s="26" t="s">
        <v>440</v>
      </c>
      <c r="AA12" s="26" t="s">
        <v>70</v>
      </c>
      <c r="AB12" s="26" t="s">
        <v>70</v>
      </c>
      <c r="AC12" s="26" t="s">
        <v>111</v>
      </c>
      <c r="AD12" s="26" t="s">
        <v>488</v>
      </c>
      <c r="AE12" s="26" t="s">
        <v>111</v>
      </c>
      <c r="AF12" s="26" t="s">
        <v>111</v>
      </c>
      <c r="AG12" s="26" t="s">
        <v>302</v>
      </c>
      <c r="AH12" s="26" t="s">
        <v>70</v>
      </c>
      <c r="AI12" s="26" t="s">
        <v>70</v>
      </c>
      <c r="AJ12" s="194" t="s">
        <v>497</v>
      </c>
      <c r="AK12" s="106"/>
      <c r="AL12" s="194" t="s">
        <v>282</v>
      </c>
      <c r="AM12" s="200">
        <v>3</v>
      </c>
      <c r="AN12" s="111">
        <f>(E12+H12+I12+J12+K12+L12+O12+P12+Q12+R12+V12+Z12+AC12+AD12+AE12+AF12+AG12)/17</f>
        <v>0.32516339869281058</v>
      </c>
      <c r="AO12" s="181">
        <f>(E13+H13+I13+J13+K13+L13+O13+P13+Q13+R13+V13+Z13+AC13+AD13+AE13+AF13+AG13)/17</f>
        <v>0.78459967320261437</v>
      </c>
    </row>
    <row r="13" spans="1:68" ht="21.75" customHeight="1" thickTop="1" thickBot="1" x14ac:dyDescent="0.45">
      <c r="A13" s="158"/>
      <c r="B13" s="118"/>
      <c r="C13" s="120"/>
      <c r="D13" s="25" t="s">
        <v>52</v>
      </c>
      <c r="E13" s="26" t="s">
        <v>154</v>
      </c>
      <c r="F13" s="26" t="s">
        <v>70</v>
      </c>
      <c r="G13" s="26" t="s">
        <v>70</v>
      </c>
      <c r="H13" s="26" t="s">
        <v>147</v>
      </c>
      <c r="I13" s="26" t="s">
        <v>92</v>
      </c>
      <c r="J13" s="26" t="s">
        <v>103</v>
      </c>
      <c r="K13" s="26" t="s">
        <v>89</v>
      </c>
      <c r="L13" s="26" t="s">
        <v>167</v>
      </c>
      <c r="M13" s="26" t="s">
        <v>70</v>
      </c>
      <c r="N13" s="26" t="s">
        <v>70</v>
      </c>
      <c r="O13" s="26" t="s">
        <v>141</v>
      </c>
      <c r="P13" s="26" t="s">
        <v>80</v>
      </c>
      <c r="Q13" s="26" t="s">
        <v>85</v>
      </c>
      <c r="R13" s="26" t="s">
        <v>80</v>
      </c>
      <c r="S13" s="68" t="s">
        <v>70</v>
      </c>
      <c r="T13" s="26" t="s">
        <v>70</v>
      </c>
      <c r="U13" s="26" t="s">
        <v>70</v>
      </c>
      <c r="V13" s="26" t="s">
        <v>147</v>
      </c>
      <c r="W13" s="228"/>
      <c r="X13" s="229"/>
      <c r="Y13" s="230"/>
      <c r="Z13" s="26" t="s">
        <v>83</v>
      </c>
      <c r="AA13" s="26" t="s">
        <v>70</v>
      </c>
      <c r="AB13" s="26" t="s">
        <v>70</v>
      </c>
      <c r="AC13" s="26" t="s">
        <v>327</v>
      </c>
      <c r="AD13" s="26" t="s">
        <v>129</v>
      </c>
      <c r="AE13" s="26" t="s">
        <v>85</v>
      </c>
      <c r="AF13" s="26" t="s">
        <v>83</v>
      </c>
      <c r="AG13" s="26" t="s">
        <v>91</v>
      </c>
      <c r="AH13" s="26" t="s">
        <v>70</v>
      </c>
      <c r="AI13" s="26" t="s">
        <v>70</v>
      </c>
      <c r="AJ13" s="194"/>
      <c r="AK13" s="106"/>
      <c r="AL13" s="194"/>
      <c r="AM13" s="200"/>
      <c r="AN13" s="111"/>
      <c r="AO13" s="181"/>
    </row>
    <row r="14" spans="1:68" ht="21.75" customHeight="1" x14ac:dyDescent="0.4">
      <c r="A14" s="30"/>
      <c r="B14" s="118" t="s">
        <v>56</v>
      </c>
      <c r="C14" s="120" t="s">
        <v>57</v>
      </c>
      <c r="D14" s="25" t="s">
        <v>51</v>
      </c>
      <c r="E14" s="26" t="s">
        <v>135</v>
      </c>
      <c r="F14" s="26" t="s">
        <v>70</v>
      </c>
      <c r="G14" s="26" t="s">
        <v>70</v>
      </c>
      <c r="H14" s="26" t="s">
        <v>135</v>
      </c>
      <c r="I14" s="26" t="s">
        <v>135</v>
      </c>
      <c r="J14" s="26" t="s">
        <v>79</v>
      </c>
      <c r="K14" s="26" t="s">
        <v>156</v>
      </c>
      <c r="L14" s="26" t="s">
        <v>156</v>
      </c>
      <c r="M14" s="26" t="s">
        <v>70</v>
      </c>
      <c r="N14" s="26" t="s">
        <v>70</v>
      </c>
      <c r="O14" s="26" t="s">
        <v>135</v>
      </c>
      <c r="P14" s="26" t="s">
        <v>156</v>
      </c>
      <c r="Q14" s="26" t="s">
        <v>156</v>
      </c>
      <c r="R14" s="26" t="s">
        <v>160</v>
      </c>
      <c r="S14" s="68" t="s">
        <v>70</v>
      </c>
      <c r="T14" s="26" t="s">
        <v>70</v>
      </c>
      <c r="U14" s="26" t="s">
        <v>70</v>
      </c>
      <c r="V14" s="26" t="s">
        <v>135</v>
      </c>
      <c r="W14" s="26" t="s">
        <v>122</v>
      </c>
      <c r="X14" s="26" t="s">
        <v>135</v>
      </c>
      <c r="Y14" s="26" t="s">
        <v>160</v>
      </c>
      <c r="Z14" s="26" t="s">
        <v>135</v>
      </c>
      <c r="AA14" s="26" t="s">
        <v>70</v>
      </c>
      <c r="AB14" s="26" t="s">
        <v>70</v>
      </c>
      <c r="AC14" s="26" t="s">
        <v>122</v>
      </c>
      <c r="AD14" s="26" t="s">
        <v>79</v>
      </c>
      <c r="AE14" s="247" t="s">
        <v>520</v>
      </c>
      <c r="AF14" s="248"/>
      <c r="AG14" s="249"/>
      <c r="AH14" s="26" t="s">
        <v>70</v>
      </c>
      <c r="AI14" s="26" t="s">
        <v>70</v>
      </c>
      <c r="AJ14" s="194"/>
      <c r="AK14" s="106"/>
      <c r="AL14" s="194" t="s">
        <v>282</v>
      </c>
      <c r="AM14" s="200">
        <v>3</v>
      </c>
      <c r="AN14" s="111">
        <f>(E14+H14+I14+J14+K14+L14+O14+P14+Q14+R14+V14+W14+X14+Y14+Z14+AC14+AD14)/17</f>
        <v>0.37116013071895432</v>
      </c>
      <c r="AO14" s="181">
        <f>(E15+H15+I15+J15+K15+L15+O15+P15+Q15+R15+V15+W15+Y15+Z15+AC15+AD15)/16</f>
        <v>0.78871527777777783</v>
      </c>
    </row>
    <row r="15" spans="1:68" ht="21.75" customHeight="1" x14ac:dyDescent="0.4">
      <c r="A15" s="30"/>
      <c r="B15" s="118"/>
      <c r="C15" s="120"/>
      <c r="D15" s="25" t="s">
        <v>52</v>
      </c>
      <c r="E15" s="26" t="s">
        <v>338</v>
      </c>
      <c r="F15" s="26" t="s">
        <v>70</v>
      </c>
      <c r="G15" s="26" t="s">
        <v>70</v>
      </c>
      <c r="H15" s="26" t="s">
        <v>147</v>
      </c>
      <c r="I15" s="26" t="s">
        <v>92</v>
      </c>
      <c r="J15" s="26" t="s">
        <v>103</v>
      </c>
      <c r="K15" s="26" t="s">
        <v>89</v>
      </c>
      <c r="L15" s="26" t="s">
        <v>167</v>
      </c>
      <c r="M15" s="26" t="s">
        <v>70</v>
      </c>
      <c r="N15" s="26" t="s">
        <v>70</v>
      </c>
      <c r="O15" s="26" t="s">
        <v>141</v>
      </c>
      <c r="P15" s="26" t="s">
        <v>80</v>
      </c>
      <c r="Q15" s="26" t="s">
        <v>85</v>
      </c>
      <c r="R15" s="26" t="s">
        <v>80</v>
      </c>
      <c r="S15" s="68" t="s">
        <v>70</v>
      </c>
      <c r="T15" s="26" t="s">
        <v>70</v>
      </c>
      <c r="U15" s="26" t="s">
        <v>70</v>
      </c>
      <c r="V15" s="26" t="s">
        <v>147</v>
      </c>
      <c r="W15" s="26" t="s">
        <v>115</v>
      </c>
      <c r="X15" s="26" t="s">
        <v>90</v>
      </c>
      <c r="Y15" s="26" t="s">
        <v>327</v>
      </c>
      <c r="Z15" s="26" t="s">
        <v>83</v>
      </c>
      <c r="AA15" s="26" t="s">
        <v>70</v>
      </c>
      <c r="AB15" s="26" t="s">
        <v>70</v>
      </c>
      <c r="AC15" s="26" t="s">
        <v>327</v>
      </c>
      <c r="AD15" s="26" t="s">
        <v>129</v>
      </c>
      <c r="AE15" s="228"/>
      <c r="AF15" s="229"/>
      <c r="AG15" s="230"/>
      <c r="AH15" s="26" t="s">
        <v>70</v>
      </c>
      <c r="AI15" s="26" t="s">
        <v>70</v>
      </c>
      <c r="AJ15" s="194"/>
      <c r="AK15" s="106"/>
      <c r="AL15" s="194"/>
      <c r="AM15" s="200"/>
      <c r="AN15" s="111"/>
      <c r="AO15" s="181"/>
    </row>
    <row r="16" spans="1:68" ht="21.75" customHeight="1" x14ac:dyDescent="0.4">
      <c r="A16" s="30"/>
      <c r="B16" s="118" t="s">
        <v>56</v>
      </c>
      <c r="C16" s="120" t="s">
        <v>426</v>
      </c>
      <c r="D16" s="25" t="s">
        <v>51</v>
      </c>
      <c r="E16" s="26" t="s">
        <v>93</v>
      </c>
      <c r="F16" s="26" t="s">
        <v>70</v>
      </c>
      <c r="G16" s="26" t="s">
        <v>70</v>
      </c>
      <c r="H16" s="26" t="s">
        <v>119</v>
      </c>
      <c r="I16" s="26" t="s">
        <v>94</v>
      </c>
      <c r="J16" s="26" t="s">
        <v>69</v>
      </c>
      <c r="K16" s="26" t="s">
        <v>121</v>
      </c>
      <c r="L16" s="26" t="s">
        <v>73</v>
      </c>
      <c r="M16" s="26" t="s">
        <v>70</v>
      </c>
      <c r="N16" s="26" t="s">
        <v>70</v>
      </c>
      <c r="O16" s="26" t="s">
        <v>152</v>
      </c>
      <c r="P16" s="26" t="s">
        <v>69</v>
      </c>
      <c r="Q16" s="26" t="s">
        <v>135</v>
      </c>
      <c r="R16" s="26" t="s">
        <v>162</v>
      </c>
      <c r="S16" s="68" t="s">
        <v>70</v>
      </c>
      <c r="T16" s="26" t="s">
        <v>70</v>
      </c>
      <c r="U16" s="26" t="s">
        <v>70</v>
      </c>
      <c r="V16" s="26" t="s">
        <v>122</v>
      </c>
      <c r="W16" s="26" t="s">
        <v>373</v>
      </c>
      <c r="X16" s="26" t="s">
        <v>161</v>
      </c>
      <c r="Y16" s="26" t="s">
        <v>160</v>
      </c>
      <c r="Z16" s="26" t="s">
        <v>79</v>
      </c>
      <c r="AA16" s="26" t="s">
        <v>70</v>
      </c>
      <c r="AB16" s="26" t="s">
        <v>70</v>
      </c>
      <c r="AC16" s="26" t="s">
        <v>149</v>
      </c>
      <c r="AD16" s="26" t="s">
        <v>122</v>
      </c>
      <c r="AE16" s="26" t="s">
        <v>149</v>
      </c>
      <c r="AF16" s="26" t="s">
        <v>71</v>
      </c>
      <c r="AG16" s="26" t="s">
        <v>122</v>
      </c>
      <c r="AH16" s="26" t="s">
        <v>70</v>
      </c>
      <c r="AI16" s="26" t="s">
        <v>70</v>
      </c>
      <c r="AJ16" s="194"/>
      <c r="AK16" s="106"/>
      <c r="AL16" s="194"/>
      <c r="AM16" s="200"/>
      <c r="AN16" s="183">
        <f>(E16+H16+I16+J16+K16+L16+O16+P16+Q16+R16+V16+W16+X16+Y16+Z16+AC16+AD16+AE16+AF16+AG16)/20</f>
        <v>0.36736111111111108</v>
      </c>
      <c r="AO16" s="105">
        <f>(E17+H17+I17+J17+K17+L17+O17+P17+Q17+R17+V17+W17+Y17+Z17+AC17+AD17+AE17+AF17+AG17)/19</f>
        <v>0.77719298245614021</v>
      </c>
    </row>
    <row r="17" spans="1:41" ht="21.75" customHeight="1" x14ac:dyDescent="0.4">
      <c r="A17" s="30"/>
      <c r="B17" s="118"/>
      <c r="C17" s="120"/>
      <c r="D17" s="25" t="s">
        <v>52</v>
      </c>
      <c r="E17" s="26" t="s">
        <v>88</v>
      </c>
      <c r="F17" s="26" t="s">
        <v>70</v>
      </c>
      <c r="G17" s="26" t="s">
        <v>70</v>
      </c>
      <c r="H17" s="26" t="s">
        <v>88</v>
      </c>
      <c r="I17" s="26" t="s">
        <v>88</v>
      </c>
      <c r="J17" s="26" t="s">
        <v>88</v>
      </c>
      <c r="K17" s="26" t="s">
        <v>88</v>
      </c>
      <c r="L17" s="26" t="s">
        <v>103</v>
      </c>
      <c r="M17" s="26" t="s">
        <v>70</v>
      </c>
      <c r="N17" s="26" t="s">
        <v>70</v>
      </c>
      <c r="O17" s="26" t="s">
        <v>88</v>
      </c>
      <c r="P17" s="26" t="s">
        <v>88</v>
      </c>
      <c r="Q17" s="26" t="s">
        <v>88</v>
      </c>
      <c r="R17" s="26" t="s">
        <v>91</v>
      </c>
      <c r="S17" s="68" t="s">
        <v>70</v>
      </c>
      <c r="T17" s="26" t="s">
        <v>70</v>
      </c>
      <c r="U17" s="26" t="s">
        <v>70</v>
      </c>
      <c r="V17" s="26" t="s">
        <v>102</v>
      </c>
      <c r="W17" s="26" t="s">
        <v>309</v>
      </c>
      <c r="X17" s="26" t="s">
        <v>104</v>
      </c>
      <c r="Y17" s="26" t="s">
        <v>88</v>
      </c>
      <c r="Z17" s="26" t="s">
        <v>452</v>
      </c>
      <c r="AA17" s="26" t="s">
        <v>70</v>
      </c>
      <c r="AB17" s="26" t="s">
        <v>70</v>
      </c>
      <c r="AC17" s="26" t="s">
        <v>88</v>
      </c>
      <c r="AD17" s="26" t="s">
        <v>153</v>
      </c>
      <c r="AE17" s="26" t="s">
        <v>88</v>
      </c>
      <c r="AF17" s="26" t="s">
        <v>90</v>
      </c>
      <c r="AG17" s="26" t="s">
        <v>101</v>
      </c>
      <c r="AH17" s="26" t="s">
        <v>70</v>
      </c>
      <c r="AI17" s="26" t="s">
        <v>70</v>
      </c>
      <c r="AJ17" s="194"/>
      <c r="AK17" s="106"/>
      <c r="AL17" s="194"/>
      <c r="AM17" s="200"/>
      <c r="AN17" s="111"/>
      <c r="AO17" s="181"/>
    </row>
    <row r="18" spans="1:41" ht="21.75" customHeight="1" x14ac:dyDescent="0.4">
      <c r="A18" s="30"/>
      <c r="B18" s="118" t="s">
        <v>56</v>
      </c>
      <c r="C18" s="120" t="s">
        <v>552</v>
      </c>
      <c r="D18" s="25" t="s">
        <v>51</v>
      </c>
      <c r="E18" s="219" t="s">
        <v>70</v>
      </c>
      <c r="F18" s="220"/>
      <c r="G18" s="220"/>
      <c r="H18" s="220"/>
      <c r="I18" s="220"/>
      <c r="J18" s="220"/>
      <c r="K18" s="220"/>
      <c r="L18" s="220"/>
      <c r="M18" s="220"/>
      <c r="N18" s="221"/>
      <c r="O18" s="26" t="s">
        <v>156</v>
      </c>
      <c r="P18" s="26" t="s">
        <v>156</v>
      </c>
      <c r="Q18" s="26" t="s">
        <v>156</v>
      </c>
      <c r="R18" s="29" t="s">
        <v>533</v>
      </c>
      <c r="S18" s="68" t="s">
        <v>70</v>
      </c>
      <c r="T18" s="26" t="s">
        <v>70</v>
      </c>
      <c r="U18" s="26" t="s">
        <v>70</v>
      </c>
      <c r="V18" s="26" t="s">
        <v>122</v>
      </c>
      <c r="W18" s="26" t="s">
        <v>156</v>
      </c>
      <c r="X18" s="26" t="s">
        <v>149</v>
      </c>
      <c r="Y18" s="26" t="s">
        <v>71</v>
      </c>
      <c r="Z18" s="26" t="s">
        <v>156</v>
      </c>
      <c r="AA18" s="26" t="s">
        <v>70</v>
      </c>
      <c r="AB18" s="26" t="s">
        <v>70</v>
      </c>
      <c r="AC18" s="26" t="s">
        <v>122</v>
      </c>
      <c r="AD18" s="26" t="s">
        <v>121</v>
      </c>
      <c r="AE18" s="26" t="s">
        <v>160</v>
      </c>
      <c r="AF18" s="26" t="s">
        <v>161</v>
      </c>
      <c r="AG18" s="26" t="s">
        <v>121</v>
      </c>
      <c r="AH18" s="26" t="s">
        <v>70</v>
      </c>
      <c r="AI18" s="26" t="s">
        <v>70</v>
      </c>
      <c r="AJ18" s="194"/>
      <c r="AK18" s="106" t="s">
        <v>282</v>
      </c>
      <c r="AL18" s="194" t="s">
        <v>284</v>
      </c>
      <c r="AM18" s="200"/>
      <c r="AN18" s="111">
        <f>(O18+P18+Q18+R18+V18+W18+X18+Y18+Z18+AC18+AD18+AE18+AF18+AG18)/14</f>
        <v>0.37227182539682541</v>
      </c>
      <c r="AO18" s="181">
        <f>(O19+P19+Q19+R19+V19+W19+Y19+Z19+AC19+AD19+AE19+AF19+AG19)/13</f>
        <v>0.79300213675213671</v>
      </c>
    </row>
    <row r="19" spans="1:41" ht="21.75" customHeight="1" thickBot="1" x14ac:dyDescent="0.45">
      <c r="A19" s="30"/>
      <c r="B19" s="119"/>
      <c r="C19" s="121"/>
      <c r="D19" s="31" t="s">
        <v>52</v>
      </c>
      <c r="E19" s="250"/>
      <c r="F19" s="251"/>
      <c r="G19" s="251"/>
      <c r="H19" s="251"/>
      <c r="I19" s="251"/>
      <c r="J19" s="251"/>
      <c r="K19" s="251"/>
      <c r="L19" s="251"/>
      <c r="M19" s="251"/>
      <c r="N19" s="252"/>
      <c r="O19" s="32" t="s">
        <v>85</v>
      </c>
      <c r="P19" s="32" t="s">
        <v>83</v>
      </c>
      <c r="Q19" s="32" t="s">
        <v>199</v>
      </c>
      <c r="R19" s="32" t="s">
        <v>123</v>
      </c>
      <c r="S19" s="69" t="s">
        <v>70</v>
      </c>
      <c r="T19" s="32" t="s">
        <v>70</v>
      </c>
      <c r="U19" s="32" t="s">
        <v>70</v>
      </c>
      <c r="V19" s="32" t="s">
        <v>141</v>
      </c>
      <c r="W19" s="32" t="s">
        <v>309</v>
      </c>
      <c r="X19" s="32" t="s">
        <v>487</v>
      </c>
      <c r="Y19" s="32" t="s">
        <v>101</v>
      </c>
      <c r="Z19" s="32" t="s">
        <v>91</v>
      </c>
      <c r="AA19" s="32" t="s">
        <v>70</v>
      </c>
      <c r="AB19" s="32" t="s">
        <v>70</v>
      </c>
      <c r="AC19" s="32" t="s">
        <v>314</v>
      </c>
      <c r="AD19" s="32" t="s">
        <v>116</v>
      </c>
      <c r="AE19" s="32" t="s">
        <v>102</v>
      </c>
      <c r="AF19" s="32" t="s">
        <v>118</v>
      </c>
      <c r="AG19" s="32" t="s">
        <v>85</v>
      </c>
      <c r="AH19" s="32" t="s">
        <v>70</v>
      </c>
      <c r="AI19" s="32" t="s">
        <v>70</v>
      </c>
      <c r="AJ19" s="196"/>
      <c r="AK19" s="167"/>
      <c r="AL19" s="196"/>
      <c r="AM19" s="201"/>
      <c r="AN19" s="188"/>
      <c r="AO19" s="189"/>
    </row>
    <row r="20" spans="1:41" ht="21.75" customHeight="1" x14ac:dyDescent="0.4">
      <c r="A20" s="115" t="s">
        <v>58</v>
      </c>
      <c r="B20" s="143" t="s">
        <v>59</v>
      </c>
      <c r="C20" s="159" t="s">
        <v>60</v>
      </c>
      <c r="D20" s="33" t="s">
        <v>51</v>
      </c>
      <c r="E20" s="34" t="s">
        <v>319</v>
      </c>
      <c r="F20" s="34" t="s">
        <v>70</v>
      </c>
      <c r="G20" s="34" t="s">
        <v>70</v>
      </c>
      <c r="H20" s="34" t="s">
        <v>383</v>
      </c>
      <c r="I20" s="34" t="s">
        <v>368</v>
      </c>
      <c r="J20" s="34" t="s">
        <v>462</v>
      </c>
      <c r="K20" s="34" t="s">
        <v>316</v>
      </c>
      <c r="L20" s="34" t="s">
        <v>477</v>
      </c>
      <c r="M20" s="34" t="s">
        <v>70</v>
      </c>
      <c r="N20" s="34" t="s">
        <v>70</v>
      </c>
      <c r="O20" s="34" t="s">
        <v>233</v>
      </c>
      <c r="P20" s="34" t="s">
        <v>462</v>
      </c>
      <c r="Q20" s="34" t="s">
        <v>369</v>
      </c>
      <c r="R20" s="34" t="s">
        <v>303</v>
      </c>
      <c r="S20" s="67" t="s">
        <v>70</v>
      </c>
      <c r="T20" s="34" t="s">
        <v>70</v>
      </c>
      <c r="U20" s="34" t="s">
        <v>70</v>
      </c>
      <c r="V20" s="231" t="s">
        <v>544</v>
      </c>
      <c r="W20" s="34" t="s">
        <v>181</v>
      </c>
      <c r="X20" s="34" t="s">
        <v>370</v>
      </c>
      <c r="Y20" s="34" t="s">
        <v>372</v>
      </c>
      <c r="Z20" s="34" t="s">
        <v>404</v>
      </c>
      <c r="AA20" s="34" t="s">
        <v>70</v>
      </c>
      <c r="AB20" s="34" t="s">
        <v>70</v>
      </c>
      <c r="AC20" s="34" t="s">
        <v>505</v>
      </c>
      <c r="AD20" s="34" t="s">
        <v>108</v>
      </c>
      <c r="AE20" s="34" t="s">
        <v>231</v>
      </c>
      <c r="AF20" s="34" t="s">
        <v>223</v>
      </c>
      <c r="AG20" s="34" t="s">
        <v>371</v>
      </c>
      <c r="AH20" s="34" t="s">
        <v>70</v>
      </c>
      <c r="AI20" s="34" t="s">
        <v>70</v>
      </c>
      <c r="AJ20" s="160" t="s">
        <v>497</v>
      </c>
      <c r="AK20" s="166"/>
      <c r="AL20" s="108" t="s">
        <v>282</v>
      </c>
      <c r="AM20" s="103">
        <v>1</v>
      </c>
      <c r="AN20" s="183">
        <f>(E20+H20+I20+J20+K20+L20+O20+P20+Q20+R20+W20+X20+Y20+Z20+AC20+AD20+AE20+AF20+AG20)/19</f>
        <v>0.31461988304093569</v>
      </c>
      <c r="AO20" s="105">
        <f>(E21+H21+I21+J21+K21+L21+O21+P21+Q21+R21+W21+Y21+Z21+AC21+AD21+AE21+AF21+AG21)/18</f>
        <v>0.80320216049382731</v>
      </c>
    </row>
    <row r="21" spans="1:41" ht="21.75" customHeight="1" x14ac:dyDescent="0.4">
      <c r="A21" s="116"/>
      <c r="B21" s="118"/>
      <c r="C21" s="120"/>
      <c r="D21" s="25" t="s">
        <v>52</v>
      </c>
      <c r="E21" s="26" t="s">
        <v>105</v>
      </c>
      <c r="F21" s="26" t="s">
        <v>70</v>
      </c>
      <c r="G21" s="26" t="s">
        <v>70</v>
      </c>
      <c r="H21" s="26" t="s">
        <v>159</v>
      </c>
      <c r="I21" s="26" t="s">
        <v>82</v>
      </c>
      <c r="J21" s="26" t="s">
        <v>116</v>
      </c>
      <c r="K21" s="26" t="s">
        <v>145</v>
      </c>
      <c r="L21" s="26" t="s">
        <v>366</v>
      </c>
      <c r="M21" s="26" t="s">
        <v>70</v>
      </c>
      <c r="N21" s="26" t="s">
        <v>70</v>
      </c>
      <c r="O21" s="26" t="s">
        <v>169</v>
      </c>
      <c r="P21" s="26" t="s">
        <v>157</v>
      </c>
      <c r="Q21" s="26" t="s">
        <v>201</v>
      </c>
      <c r="R21" s="26" t="s">
        <v>178</v>
      </c>
      <c r="S21" s="68" t="s">
        <v>70</v>
      </c>
      <c r="T21" s="26" t="s">
        <v>70</v>
      </c>
      <c r="U21" s="26" t="s">
        <v>70</v>
      </c>
      <c r="V21" s="126"/>
      <c r="W21" s="26" t="s">
        <v>334</v>
      </c>
      <c r="X21" s="26" t="s">
        <v>277</v>
      </c>
      <c r="Y21" s="26" t="s">
        <v>169</v>
      </c>
      <c r="Z21" s="26" t="s">
        <v>307</v>
      </c>
      <c r="AA21" s="26" t="s">
        <v>70</v>
      </c>
      <c r="AB21" s="26" t="s">
        <v>70</v>
      </c>
      <c r="AC21" s="26" t="s">
        <v>116</v>
      </c>
      <c r="AD21" s="26" t="s">
        <v>310</v>
      </c>
      <c r="AE21" s="26" t="s">
        <v>452</v>
      </c>
      <c r="AF21" s="26" t="s">
        <v>309</v>
      </c>
      <c r="AG21" s="26" t="s">
        <v>290</v>
      </c>
      <c r="AH21" s="26" t="s">
        <v>70</v>
      </c>
      <c r="AI21" s="26" t="s">
        <v>70</v>
      </c>
      <c r="AJ21" s="127"/>
      <c r="AK21" s="106"/>
      <c r="AL21" s="194"/>
      <c r="AM21" s="200"/>
      <c r="AN21" s="111"/>
      <c r="AO21" s="181"/>
    </row>
    <row r="22" spans="1:41" ht="21.75" customHeight="1" x14ac:dyDescent="0.4">
      <c r="A22" s="116"/>
      <c r="B22" s="118" t="s">
        <v>53</v>
      </c>
      <c r="C22" s="120" t="s">
        <v>61</v>
      </c>
      <c r="D22" s="25" t="s">
        <v>51</v>
      </c>
      <c r="E22" s="26" t="s">
        <v>196</v>
      </c>
      <c r="F22" s="26" t="s">
        <v>70</v>
      </c>
      <c r="G22" s="26" t="s">
        <v>70</v>
      </c>
      <c r="H22" s="26" t="s">
        <v>300</v>
      </c>
      <c r="I22" s="26" t="s">
        <v>375</v>
      </c>
      <c r="J22" s="26" t="s">
        <v>300</v>
      </c>
      <c r="K22" s="26" t="s">
        <v>77</v>
      </c>
      <c r="L22" s="26" t="s">
        <v>69</v>
      </c>
      <c r="M22" s="26" t="s">
        <v>70</v>
      </c>
      <c r="N22" s="26" t="s">
        <v>70</v>
      </c>
      <c r="O22" s="26" t="s">
        <v>110</v>
      </c>
      <c r="P22" s="26" t="s">
        <v>77</v>
      </c>
      <c r="Q22" s="26" t="s">
        <v>74</v>
      </c>
      <c r="R22" s="26" t="s">
        <v>134</v>
      </c>
      <c r="S22" s="68" t="s">
        <v>70</v>
      </c>
      <c r="T22" s="26" t="s">
        <v>70</v>
      </c>
      <c r="U22" s="26" t="s">
        <v>70</v>
      </c>
      <c r="V22" s="26" t="s">
        <v>152</v>
      </c>
      <c r="W22" s="26" t="s">
        <v>124</v>
      </c>
      <c r="X22" s="26" t="s">
        <v>161</v>
      </c>
      <c r="Y22" s="26" t="s">
        <v>76</v>
      </c>
      <c r="Z22" s="26" t="s">
        <v>95</v>
      </c>
      <c r="AA22" s="26" t="s">
        <v>70</v>
      </c>
      <c r="AB22" s="26" t="s">
        <v>70</v>
      </c>
      <c r="AC22" s="26" t="s">
        <v>311</v>
      </c>
      <c r="AD22" s="26" t="s">
        <v>93</v>
      </c>
      <c r="AE22" s="26" t="s">
        <v>76</v>
      </c>
      <c r="AF22" s="26" t="s">
        <v>135</v>
      </c>
      <c r="AG22" s="26" t="s">
        <v>134</v>
      </c>
      <c r="AH22" s="26" t="s">
        <v>70</v>
      </c>
      <c r="AI22" s="26" t="s">
        <v>70</v>
      </c>
      <c r="AJ22" s="127" t="s">
        <v>282</v>
      </c>
      <c r="AK22" s="106"/>
      <c r="AL22" s="194" t="s">
        <v>282</v>
      </c>
      <c r="AM22" s="195"/>
      <c r="AN22" s="183">
        <f>(E22+H22+I22+J22+K22+L22+O22+P22+Q22+R22+V22+W22+X22+Y22+Z22+AC22+AD22+AE22+AF22+AG22)/20</f>
        <v>0.3552777777777778</v>
      </c>
      <c r="AO22" s="105">
        <f>(E23+H23+I23+J23+K23+L23+O23+P23+Q23+R23+V23+W23+Y23+Z23+AC23+AD23+AE23+AF23+AG23)/19</f>
        <v>0.77956871345029222</v>
      </c>
    </row>
    <row r="23" spans="1:41" ht="21.75" customHeight="1" x14ac:dyDescent="0.4">
      <c r="A23" s="116"/>
      <c r="B23" s="118"/>
      <c r="C23" s="120"/>
      <c r="D23" s="25" t="s">
        <v>52</v>
      </c>
      <c r="E23" s="26" t="s">
        <v>89</v>
      </c>
      <c r="F23" s="26" t="s">
        <v>70</v>
      </c>
      <c r="G23" s="26" t="s">
        <v>70</v>
      </c>
      <c r="H23" s="26" t="s">
        <v>80</v>
      </c>
      <c r="I23" s="26" t="s">
        <v>80</v>
      </c>
      <c r="J23" s="26" t="s">
        <v>101</v>
      </c>
      <c r="K23" s="26" t="s">
        <v>80</v>
      </c>
      <c r="L23" s="26" t="s">
        <v>84</v>
      </c>
      <c r="M23" s="26" t="s">
        <v>70</v>
      </c>
      <c r="N23" s="26" t="s">
        <v>70</v>
      </c>
      <c r="O23" s="26" t="s">
        <v>80</v>
      </c>
      <c r="P23" s="26" t="s">
        <v>88</v>
      </c>
      <c r="Q23" s="26" t="s">
        <v>548</v>
      </c>
      <c r="R23" s="26" t="s">
        <v>349</v>
      </c>
      <c r="S23" s="68" t="s">
        <v>70</v>
      </c>
      <c r="T23" s="26" t="s">
        <v>70</v>
      </c>
      <c r="U23" s="26" t="s">
        <v>70</v>
      </c>
      <c r="V23" s="26" t="s">
        <v>101</v>
      </c>
      <c r="W23" s="26" t="s">
        <v>88</v>
      </c>
      <c r="X23" s="26" t="s">
        <v>364</v>
      </c>
      <c r="Y23" s="26" t="s">
        <v>85</v>
      </c>
      <c r="Z23" s="26" t="s">
        <v>101</v>
      </c>
      <c r="AA23" s="26" t="s">
        <v>70</v>
      </c>
      <c r="AB23" s="26" t="s">
        <v>70</v>
      </c>
      <c r="AC23" s="26" t="s">
        <v>312</v>
      </c>
      <c r="AD23" s="26" t="s">
        <v>91</v>
      </c>
      <c r="AE23" s="26" t="s">
        <v>88</v>
      </c>
      <c r="AF23" s="26" t="s">
        <v>80</v>
      </c>
      <c r="AG23" s="26" t="s">
        <v>91</v>
      </c>
      <c r="AH23" s="26" t="s">
        <v>70</v>
      </c>
      <c r="AI23" s="26" t="s">
        <v>70</v>
      </c>
      <c r="AJ23" s="127"/>
      <c r="AK23" s="106"/>
      <c r="AL23" s="194"/>
      <c r="AM23" s="195"/>
      <c r="AN23" s="111"/>
      <c r="AO23" s="181"/>
    </row>
    <row r="24" spans="1:41" ht="21.75" customHeight="1" x14ac:dyDescent="0.4">
      <c r="A24" s="116"/>
      <c r="B24" s="118" t="s">
        <v>53</v>
      </c>
      <c r="C24" s="120" t="s">
        <v>518</v>
      </c>
      <c r="D24" s="25" t="s">
        <v>51</v>
      </c>
      <c r="E24" s="26" t="s">
        <v>142</v>
      </c>
      <c r="F24" s="26" t="s">
        <v>70</v>
      </c>
      <c r="G24" s="26" t="s">
        <v>70</v>
      </c>
      <c r="H24" s="26" t="s">
        <v>99</v>
      </c>
      <c r="I24" s="26" t="s">
        <v>97</v>
      </c>
      <c r="J24" s="26" t="s">
        <v>143</v>
      </c>
      <c r="K24" s="26" t="s">
        <v>99</v>
      </c>
      <c r="L24" s="26" t="s">
        <v>143</v>
      </c>
      <c r="M24" s="26" t="s">
        <v>70</v>
      </c>
      <c r="N24" s="26" t="s">
        <v>70</v>
      </c>
      <c r="O24" s="26" t="s">
        <v>97</v>
      </c>
      <c r="P24" s="26" t="s">
        <v>97</v>
      </c>
      <c r="Q24" s="26" t="s">
        <v>142</v>
      </c>
      <c r="R24" s="26" t="s">
        <v>119</v>
      </c>
      <c r="S24" s="68" t="s">
        <v>70</v>
      </c>
      <c r="T24" s="26" t="s">
        <v>70</v>
      </c>
      <c r="U24" s="26" t="s">
        <v>70</v>
      </c>
      <c r="V24" s="26" t="s">
        <v>137</v>
      </c>
      <c r="W24" s="26" t="s">
        <v>97</v>
      </c>
      <c r="X24" s="26" t="s">
        <v>137</v>
      </c>
      <c r="Y24" s="219" t="s">
        <v>70</v>
      </c>
      <c r="Z24" s="220"/>
      <c r="AA24" s="220"/>
      <c r="AB24" s="220"/>
      <c r="AC24" s="220"/>
      <c r="AD24" s="220"/>
      <c r="AE24" s="220"/>
      <c r="AF24" s="220"/>
      <c r="AG24" s="221"/>
      <c r="AH24" s="26" t="s">
        <v>70</v>
      </c>
      <c r="AI24" s="26" t="s">
        <v>70</v>
      </c>
      <c r="AJ24" s="127"/>
      <c r="AK24" s="106"/>
      <c r="AL24" s="194"/>
      <c r="AM24" s="195"/>
      <c r="AN24" s="111">
        <f>(E24+H24+I24+J24+K24+L24+O24+P24+Q24+R24+V24+W24+X24)/13</f>
        <v>0.3561431623931624</v>
      </c>
      <c r="AO24" s="181">
        <f>(E25+H25+I25+J25+K25+L25+O25+P25+Q25+R25+V25+W25)/12</f>
        <v>0.78420138888888891</v>
      </c>
    </row>
    <row r="25" spans="1:41" ht="21.75" customHeight="1" x14ac:dyDescent="0.4">
      <c r="A25" s="116"/>
      <c r="B25" s="118"/>
      <c r="C25" s="120"/>
      <c r="D25" s="25" t="s">
        <v>52</v>
      </c>
      <c r="E25" s="26" t="s">
        <v>310</v>
      </c>
      <c r="F25" s="26" t="s">
        <v>70</v>
      </c>
      <c r="G25" s="26" t="s">
        <v>70</v>
      </c>
      <c r="H25" s="26" t="s">
        <v>83</v>
      </c>
      <c r="I25" s="26" t="s">
        <v>305</v>
      </c>
      <c r="J25" s="26" t="s">
        <v>90</v>
      </c>
      <c r="K25" s="26" t="s">
        <v>103</v>
      </c>
      <c r="L25" s="26" t="s">
        <v>147</v>
      </c>
      <c r="M25" s="26" t="s">
        <v>70</v>
      </c>
      <c r="N25" s="26" t="s">
        <v>70</v>
      </c>
      <c r="O25" s="26" t="s">
        <v>123</v>
      </c>
      <c r="P25" s="26" t="s">
        <v>85</v>
      </c>
      <c r="Q25" s="26" t="s">
        <v>92</v>
      </c>
      <c r="R25" s="26" t="s">
        <v>92</v>
      </c>
      <c r="S25" s="68" t="s">
        <v>70</v>
      </c>
      <c r="T25" s="26" t="s">
        <v>70</v>
      </c>
      <c r="U25" s="26" t="s">
        <v>70</v>
      </c>
      <c r="V25" s="26" t="s">
        <v>102</v>
      </c>
      <c r="W25" s="26" t="s">
        <v>334</v>
      </c>
      <c r="X25" s="26" t="s">
        <v>386</v>
      </c>
      <c r="Y25" s="222"/>
      <c r="Z25" s="223"/>
      <c r="AA25" s="223"/>
      <c r="AB25" s="223"/>
      <c r="AC25" s="223"/>
      <c r="AD25" s="223"/>
      <c r="AE25" s="223"/>
      <c r="AF25" s="223"/>
      <c r="AG25" s="224"/>
      <c r="AH25" s="26" t="s">
        <v>70</v>
      </c>
      <c r="AI25" s="26" t="s">
        <v>70</v>
      </c>
      <c r="AJ25" s="127"/>
      <c r="AK25" s="106"/>
      <c r="AL25" s="194"/>
      <c r="AM25" s="195"/>
      <c r="AN25" s="111"/>
      <c r="AO25" s="181"/>
    </row>
    <row r="26" spans="1:41" ht="21.75" customHeight="1" x14ac:dyDescent="0.4">
      <c r="A26" s="116"/>
      <c r="B26" s="118" t="s">
        <v>53</v>
      </c>
      <c r="C26" s="120" t="s">
        <v>519</v>
      </c>
      <c r="D26" s="25" t="s">
        <v>51</v>
      </c>
      <c r="E26" s="26" t="s">
        <v>99</v>
      </c>
      <c r="F26" s="26" t="s">
        <v>70</v>
      </c>
      <c r="G26" s="26" t="s">
        <v>70</v>
      </c>
      <c r="H26" s="26" t="s">
        <v>99</v>
      </c>
      <c r="I26" s="26" t="s">
        <v>72</v>
      </c>
      <c r="J26" s="26" t="s">
        <v>75</v>
      </c>
      <c r="K26" s="26" t="s">
        <v>72</v>
      </c>
      <c r="L26" s="26" t="s">
        <v>99</v>
      </c>
      <c r="M26" s="26" t="s">
        <v>70</v>
      </c>
      <c r="N26" s="26" t="s">
        <v>70</v>
      </c>
      <c r="O26" s="26" t="s">
        <v>75</v>
      </c>
      <c r="P26" s="26" t="s">
        <v>72</v>
      </c>
      <c r="Q26" s="26" t="s">
        <v>72</v>
      </c>
      <c r="R26" s="26" t="s">
        <v>161</v>
      </c>
      <c r="S26" s="68" t="s">
        <v>70</v>
      </c>
      <c r="T26" s="26" t="s">
        <v>70</v>
      </c>
      <c r="U26" s="26" t="s">
        <v>70</v>
      </c>
      <c r="V26" s="26" t="s">
        <v>73</v>
      </c>
      <c r="W26" s="26" t="s">
        <v>73</v>
      </c>
      <c r="X26" s="26" t="s">
        <v>68</v>
      </c>
      <c r="Y26" s="26" t="s">
        <v>72</v>
      </c>
      <c r="Z26" s="26" t="s">
        <v>73</v>
      </c>
      <c r="AA26" s="26" t="s">
        <v>70</v>
      </c>
      <c r="AB26" s="26" t="s">
        <v>70</v>
      </c>
      <c r="AC26" s="26" t="s">
        <v>74</v>
      </c>
      <c r="AD26" s="26" t="s">
        <v>72</v>
      </c>
      <c r="AE26" s="26" t="s">
        <v>68</v>
      </c>
      <c r="AF26" s="26" t="s">
        <v>120</v>
      </c>
      <c r="AG26" s="26" t="s">
        <v>75</v>
      </c>
      <c r="AH26" s="26" t="s">
        <v>70</v>
      </c>
      <c r="AI26" s="26" t="s">
        <v>70</v>
      </c>
      <c r="AJ26" s="112"/>
      <c r="AK26" s="106"/>
      <c r="AL26" s="194" t="s">
        <v>280</v>
      </c>
      <c r="AM26" s="195"/>
      <c r="AN26" s="183">
        <f>(E26+H26+I26+J26+K26+L26+O26+P26+Q26+R26+V26+W26+X26+Y26+Z26+AC26+AD26+AE26+AF26+AG26)/20</f>
        <v>0.36399305555555556</v>
      </c>
      <c r="AO26" s="105">
        <f>(E27+H27+I27+J27+K27+L27+O27+P27+Q27+R27+V27+W27+Y27+Z27+AC27+AD27+AE27+AF27+AG27)/19</f>
        <v>0.80464181286549707</v>
      </c>
    </row>
    <row r="27" spans="1:41" ht="21.75" customHeight="1" x14ac:dyDescent="0.4">
      <c r="A27" s="116"/>
      <c r="B27" s="118"/>
      <c r="C27" s="120"/>
      <c r="D27" s="25" t="s">
        <v>52</v>
      </c>
      <c r="E27" s="26" t="s">
        <v>551</v>
      </c>
      <c r="F27" s="26" t="s">
        <v>70</v>
      </c>
      <c r="G27" s="26" t="s">
        <v>70</v>
      </c>
      <c r="H27" s="26" t="s">
        <v>334</v>
      </c>
      <c r="I27" s="26" t="s">
        <v>451</v>
      </c>
      <c r="J27" s="26" t="s">
        <v>367</v>
      </c>
      <c r="K27" s="26" t="s">
        <v>183</v>
      </c>
      <c r="L27" s="26" t="s">
        <v>343</v>
      </c>
      <c r="M27" s="26" t="s">
        <v>70</v>
      </c>
      <c r="N27" s="26" t="s">
        <v>70</v>
      </c>
      <c r="O27" s="26" t="s">
        <v>80</v>
      </c>
      <c r="P27" s="26" t="s">
        <v>310</v>
      </c>
      <c r="Q27" s="26" t="s">
        <v>327</v>
      </c>
      <c r="R27" s="26" t="s">
        <v>178</v>
      </c>
      <c r="S27" s="68" t="s">
        <v>70</v>
      </c>
      <c r="T27" s="26" t="s">
        <v>70</v>
      </c>
      <c r="U27" s="26" t="s">
        <v>70</v>
      </c>
      <c r="V27" s="26" t="s">
        <v>83</v>
      </c>
      <c r="W27" s="26" t="s">
        <v>103</v>
      </c>
      <c r="X27" s="26" t="s">
        <v>277</v>
      </c>
      <c r="Y27" s="26" t="s">
        <v>146</v>
      </c>
      <c r="Z27" s="26" t="s">
        <v>290</v>
      </c>
      <c r="AA27" s="26" t="s">
        <v>70</v>
      </c>
      <c r="AB27" s="26" t="s">
        <v>70</v>
      </c>
      <c r="AC27" s="26" t="s">
        <v>150</v>
      </c>
      <c r="AD27" s="26" t="s">
        <v>310</v>
      </c>
      <c r="AE27" s="26" t="s">
        <v>87</v>
      </c>
      <c r="AF27" s="26" t="s">
        <v>451</v>
      </c>
      <c r="AG27" s="26" t="s">
        <v>459</v>
      </c>
      <c r="AH27" s="26" t="s">
        <v>70</v>
      </c>
      <c r="AI27" s="26" t="s">
        <v>70</v>
      </c>
      <c r="AJ27" s="112"/>
      <c r="AK27" s="106"/>
      <c r="AL27" s="194"/>
      <c r="AM27" s="195"/>
      <c r="AN27" s="111"/>
      <c r="AO27" s="181"/>
    </row>
    <row r="28" spans="1:41" ht="21.75" customHeight="1" x14ac:dyDescent="0.4">
      <c r="A28" s="116"/>
      <c r="B28" s="118" t="s">
        <v>56</v>
      </c>
      <c r="C28" s="120" t="s">
        <v>242</v>
      </c>
      <c r="D28" s="25" t="s">
        <v>51</v>
      </c>
      <c r="E28" s="26" t="s">
        <v>72</v>
      </c>
      <c r="F28" s="26" t="s">
        <v>70</v>
      </c>
      <c r="G28" s="26" t="s">
        <v>70</v>
      </c>
      <c r="H28" s="26" t="s">
        <v>95</v>
      </c>
      <c r="I28" s="26" t="s">
        <v>121</v>
      </c>
      <c r="J28" s="26" t="s">
        <v>79</v>
      </c>
      <c r="K28" s="26" t="s">
        <v>121</v>
      </c>
      <c r="L28" s="26" t="s">
        <v>156</v>
      </c>
      <c r="M28" s="26" t="s">
        <v>70</v>
      </c>
      <c r="N28" s="26" t="s">
        <v>70</v>
      </c>
      <c r="O28" s="26" t="s">
        <v>152</v>
      </c>
      <c r="P28" s="26" t="s">
        <v>156</v>
      </c>
      <c r="Q28" s="26" t="s">
        <v>156</v>
      </c>
      <c r="R28" s="26" t="s">
        <v>121</v>
      </c>
      <c r="S28" s="68" t="s">
        <v>70</v>
      </c>
      <c r="T28" s="26" t="s">
        <v>70</v>
      </c>
      <c r="U28" s="26" t="s">
        <v>70</v>
      </c>
      <c r="V28" s="26" t="s">
        <v>122</v>
      </c>
      <c r="W28" s="26" t="s">
        <v>76</v>
      </c>
      <c r="X28" s="26" t="s">
        <v>160</v>
      </c>
      <c r="Y28" s="26" t="s">
        <v>71</v>
      </c>
      <c r="Z28" s="26" t="s">
        <v>149</v>
      </c>
      <c r="AA28" s="26" t="s">
        <v>70</v>
      </c>
      <c r="AB28" s="26" t="s">
        <v>70</v>
      </c>
      <c r="AC28" s="26" t="s">
        <v>135</v>
      </c>
      <c r="AD28" s="26" t="s">
        <v>122</v>
      </c>
      <c r="AE28" s="26" t="s">
        <v>156</v>
      </c>
      <c r="AF28" s="126" t="s">
        <v>176</v>
      </c>
      <c r="AG28" s="26" t="s">
        <v>152</v>
      </c>
      <c r="AH28" s="26" t="s">
        <v>70</v>
      </c>
      <c r="AI28" s="26" t="s">
        <v>70</v>
      </c>
      <c r="AJ28" s="112"/>
      <c r="AK28" s="106"/>
      <c r="AL28" s="194"/>
      <c r="AM28" s="195">
        <v>1</v>
      </c>
      <c r="AN28" s="111">
        <f>(E28+H28+I28+J28+K28+L28+O28+P28+Q28+R28+V28+W28+X28+Y28+Z28+AC28+AD28+AE28+AG28)/19</f>
        <v>0.36922514619883035</v>
      </c>
      <c r="AO28" s="181">
        <f>(E29+H29+I29+J29+K29+L29+O29+P29+Q29+R29+V29+W29+Y29+Z29+AC29+AD29+AE29+AG29)/18</f>
        <v>0.77507716049382713</v>
      </c>
    </row>
    <row r="29" spans="1:41" ht="21.75" customHeight="1" thickBot="1" x14ac:dyDescent="0.45">
      <c r="A29" s="117"/>
      <c r="B29" s="119"/>
      <c r="C29" s="121"/>
      <c r="D29" s="31" t="s">
        <v>52</v>
      </c>
      <c r="E29" s="32" t="s">
        <v>310</v>
      </c>
      <c r="F29" s="32" t="s">
        <v>70</v>
      </c>
      <c r="G29" s="32" t="s">
        <v>70</v>
      </c>
      <c r="H29" s="32" t="s">
        <v>85</v>
      </c>
      <c r="I29" s="32" t="s">
        <v>91</v>
      </c>
      <c r="J29" s="32" t="s">
        <v>89</v>
      </c>
      <c r="K29" s="32" t="s">
        <v>89</v>
      </c>
      <c r="L29" s="32" t="s">
        <v>103</v>
      </c>
      <c r="M29" s="32" t="s">
        <v>70</v>
      </c>
      <c r="N29" s="32" t="s">
        <v>70</v>
      </c>
      <c r="O29" s="32" t="s">
        <v>88</v>
      </c>
      <c r="P29" s="32" t="s">
        <v>89</v>
      </c>
      <c r="Q29" s="32" t="s">
        <v>102</v>
      </c>
      <c r="R29" s="32" t="s">
        <v>102</v>
      </c>
      <c r="S29" s="69" t="s">
        <v>70</v>
      </c>
      <c r="T29" s="32" t="s">
        <v>70</v>
      </c>
      <c r="U29" s="32" t="s">
        <v>70</v>
      </c>
      <c r="V29" s="32" t="s">
        <v>80</v>
      </c>
      <c r="W29" s="32" t="s">
        <v>80</v>
      </c>
      <c r="X29" s="32" t="s">
        <v>241</v>
      </c>
      <c r="Y29" s="32" t="s">
        <v>101</v>
      </c>
      <c r="Z29" s="32" t="s">
        <v>80</v>
      </c>
      <c r="AA29" s="32" t="s">
        <v>70</v>
      </c>
      <c r="AB29" s="32" t="s">
        <v>70</v>
      </c>
      <c r="AC29" s="32" t="s">
        <v>101</v>
      </c>
      <c r="AD29" s="32" t="s">
        <v>103</v>
      </c>
      <c r="AE29" s="32" t="s">
        <v>80</v>
      </c>
      <c r="AF29" s="182"/>
      <c r="AG29" s="32" t="s">
        <v>85</v>
      </c>
      <c r="AH29" s="32" t="s">
        <v>70</v>
      </c>
      <c r="AI29" s="32" t="s">
        <v>70</v>
      </c>
      <c r="AJ29" s="122"/>
      <c r="AK29" s="167"/>
      <c r="AL29" s="196"/>
      <c r="AM29" s="197"/>
      <c r="AN29" s="188"/>
      <c r="AO29" s="189"/>
    </row>
    <row r="30" spans="1:41" ht="21.75" customHeight="1" x14ac:dyDescent="0.4">
      <c r="A30" s="123" t="s">
        <v>64</v>
      </c>
      <c r="B30" s="143" t="s">
        <v>59</v>
      </c>
      <c r="C30" s="159" t="s">
        <v>65</v>
      </c>
      <c r="D30" s="33" t="s">
        <v>51</v>
      </c>
      <c r="E30" s="34" t="s">
        <v>134</v>
      </c>
      <c r="F30" s="34" t="s">
        <v>70</v>
      </c>
      <c r="G30" s="34" t="s">
        <v>70</v>
      </c>
      <c r="H30" s="34" t="s">
        <v>93</v>
      </c>
      <c r="I30" s="34" t="s">
        <v>74</v>
      </c>
      <c r="J30" s="34" t="s">
        <v>94</v>
      </c>
      <c r="K30" s="34" t="s">
        <v>100</v>
      </c>
      <c r="L30" s="34" t="s">
        <v>71</v>
      </c>
      <c r="M30" s="34" t="s">
        <v>70</v>
      </c>
      <c r="N30" s="34" t="s">
        <v>70</v>
      </c>
      <c r="O30" s="34" t="s">
        <v>78</v>
      </c>
      <c r="P30" s="34" t="s">
        <v>99</v>
      </c>
      <c r="Q30" s="34" t="s">
        <v>93</v>
      </c>
      <c r="R30" s="34" t="s">
        <v>93</v>
      </c>
      <c r="S30" s="67" t="s">
        <v>70</v>
      </c>
      <c r="T30" s="34" t="s">
        <v>70</v>
      </c>
      <c r="U30" s="34" t="s">
        <v>70</v>
      </c>
      <c r="V30" s="34" t="s">
        <v>179</v>
      </c>
      <c r="W30" s="34" t="s">
        <v>119</v>
      </c>
      <c r="X30" s="34" t="s">
        <v>143</v>
      </c>
      <c r="Y30" s="34" t="s">
        <v>311</v>
      </c>
      <c r="Z30" s="34" t="s">
        <v>94</v>
      </c>
      <c r="AA30" s="34" t="s">
        <v>70</v>
      </c>
      <c r="AB30" s="34" t="s">
        <v>70</v>
      </c>
      <c r="AC30" s="34" t="s">
        <v>93</v>
      </c>
      <c r="AD30" s="34" t="s">
        <v>74</v>
      </c>
      <c r="AE30" s="34" t="s">
        <v>134</v>
      </c>
      <c r="AF30" s="34" t="s">
        <v>73</v>
      </c>
      <c r="AG30" s="34" t="s">
        <v>73</v>
      </c>
      <c r="AH30" s="34" t="s">
        <v>70</v>
      </c>
      <c r="AI30" s="34" t="s">
        <v>70</v>
      </c>
      <c r="AJ30" s="160"/>
      <c r="AK30" s="166"/>
      <c r="AL30" s="108" t="s">
        <v>280</v>
      </c>
      <c r="AM30" s="110"/>
      <c r="AN30" s="183">
        <f>(E30+H30+I30+J30+K30+L30+O30+P30+Q30+R30+V30+W30+X30+Y30+Z30+AC30+AD30+AE30+AF30+AG30)/20</f>
        <v>0.36</v>
      </c>
      <c r="AO30" s="105">
        <f>(E31+H31+I31+J31+K31+L31+O31+P31+Q31+R31+V31+W31+Y31+Z31+AC31+AD31+AE31+AF31+AG31)/19</f>
        <v>0.81436403508771937</v>
      </c>
    </row>
    <row r="31" spans="1:41" ht="21.75" customHeight="1" x14ac:dyDescent="0.4">
      <c r="A31" s="124"/>
      <c r="B31" s="118"/>
      <c r="C31" s="120"/>
      <c r="D31" s="25" t="s">
        <v>52</v>
      </c>
      <c r="E31" s="26" t="s">
        <v>144</v>
      </c>
      <c r="F31" s="26" t="s">
        <v>70</v>
      </c>
      <c r="G31" s="26" t="s">
        <v>70</v>
      </c>
      <c r="H31" s="26" t="s">
        <v>295</v>
      </c>
      <c r="I31" s="26" t="s">
        <v>126</v>
      </c>
      <c r="J31" s="26" t="s">
        <v>114</v>
      </c>
      <c r="K31" s="26" t="s">
        <v>547</v>
      </c>
      <c r="L31" s="26" t="s">
        <v>295</v>
      </c>
      <c r="M31" s="26" t="s">
        <v>70</v>
      </c>
      <c r="N31" s="26" t="s">
        <v>70</v>
      </c>
      <c r="O31" s="26" t="s">
        <v>167</v>
      </c>
      <c r="P31" s="26" t="s">
        <v>126</v>
      </c>
      <c r="Q31" s="26" t="s">
        <v>186</v>
      </c>
      <c r="R31" s="26" t="s">
        <v>114</v>
      </c>
      <c r="S31" s="68" t="s">
        <v>70</v>
      </c>
      <c r="T31" s="26" t="s">
        <v>70</v>
      </c>
      <c r="U31" s="26" t="s">
        <v>70</v>
      </c>
      <c r="V31" s="26" t="s">
        <v>188</v>
      </c>
      <c r="W31" s="26" t="s">
        <v>167</v>
      </c>
      <c r="X31" s="26" t="s">
        <v>310</v>
      </c>
      <c r="Y31" s="26" t="s">
        <v>195</v>
      </c>
      <c r="Z31" s="26" t="s">
        <v>175</v>
      </c>
      <c r="AA31" s="26" t="s">
        <v>70</v>
      </c>
      <c r="AB31" s="26" t="s">
        <v>70</v>
      </c>
      <c r="AC31" s="26" t="s">
        <v>331</v>
      </c>
      <c r="AD31" s="26" t="s">
        <v>105</v>
      </c>
      <c r="AE31" s="26" t="s">
        <v>115</v>
      </c>
      <c r="AF31" s="26" t="s">
        <v>115</v>
      </c>
      <c r="AG31" s="26" t="s">
        <v>452</v>
      </c>
      <c r="AH31" s="26" t="s">
        <v>70</v>
      </c>
      <c r="AI31" s="26" t="s">
        <v>70</v>
      </c>
      <c r="AJ31" s="127"/>
      <c r="AK31" s="106"/>
      <c r="AL31" s="194"/>
      <c r="AM31" s="195"/>
      <c r="AN31" s="111"/>
      <c r="AO31" s="181"/>
    </row>
    <row r="32" spans="1:41" ht="21.75" customHeight="1" x14ac:dyDescent="0.4">
      <c r="A32" s="124"/>
      <c r="B32" s="118" t="s">
        <v>67</v>
      </c>
      <c r="C32" s="120" t="s">
        <v>66</v>
      </c>
      <c r="D32" s="25" t="s">
        <v>51</v>
      </c>
      <c r="E32" s="26" t="s">
        <v>149</v>
      </c>
      <c r="F32" s="26" t="s">
        <v>70</v>
      </c>
      <c r="G32" s="26" t="s">
        <v>70</v>
      </c>
      <c r="H32" s="26" t="s">
        <v>152</v>
      </c>
      <c r="I32" s="26" t="s">
        <v>69</v>
      </c>
      <c r="J32" s="26" t="s">
        <v>68</v>
      </c>
      <c r="K32" s="26" t="s">
        <v>69</v>
      </c>
      <c r="L32" s="26" t="s">
        <v>119</v>
      </c>
      <c r="M32" s="26" t="s">
        <v>70</v>
      </c>
      <c r="N32" s="26" t="s">
        <v>70</v>
      </c>
      <c r="O32" s="26" t="s">
        <v>68</v>
      </c>
      <c r="P32" s="26" t="s">
        <v>68</v>
      </c>
      <c r="Q32" s="26" t="s">
        <v>69</v>
      </c>
      <c r="R32" s="26" t="s">
        <v>152</v>
      </c>
      <c r="S32" s="68" t="s">
        <v>70</v>
      </c>
      <c r="T32" s="26" t="s">
        <v>70</v>
      </c>
      <c r="U32" s="26" t="s">
        <v>70</v>
      </c>
      <c r="V32" s="26" t="s">
        <v>76</v>
      </c>
      <c r="W32" s="26" t="s">
        <v>119</v>
      </c>
      <c r="X32" s="26" t="s">
        <v>119</v>
      </c>
      <c r="Y32" s="26" t="s">
        <v>387</v>
      </c>
      <c r="Z32" s="26" t="s">
        <v>119</v>
      </c>
      <c r="AA32" s="26" t="s">
        <v>70</v>
      </c>
      <c r="AB32" s="26" t="s">
        <v>70</v>
      </c>
      <c r="AC32" s="26" t="s">
        <v>74</v>
      </c>
      <c r="AD32" s="26" t="s">
        <v>152</v>
      </c>
      <c r="AE32" s="26" t="s">
        <v>72</v>
      </c>
      <c r="AF32" s="26" t="s">
        <v>69</v>
      </c>
      <c r="AG32" s="26" t="s">
        <v>75</v>
      </c>
      <c r="AH32" s="26" t="s">
        <v>70</v>
      </c>
      <c r="AI32" s="26" t="s">
        <v>70</v>
      </c>
      <c r="AJ32" s="112"/>
      <c r="AK32" s="106"/>
      <c r="AL32" s="194" t="s">
        <v>283</v>
      </c>
      <c r="AM32" s="195"/>
      <c r="AN32" s="183">
        <f>(E32+H32+I32+J32+K32+L32+O32+P32+Q32+R32+V32+W32+X32+Y32+Z32+AC32+AD32+AE32+AF32+AG32)/20</f>
        <v>0.36652777777777767</v>
      </c>
      <c r="AO32" s="105">
        <f>(E33+H33+I33+J33+K33+L33+O33+P33+Q33+R33+V33+W33+Y33+Z33+AC33+AD33+AE33+AF33+AG33)/19</f>
        <v>0.83015350877192984</v>
      </c>
    </row>
    <row r="33" spans="1:41" ht="21.75" customHeight="1" x14ac:dyDescent="0.4">
      <c r="A33" s="124"/>
      <c r="B33" s="118"/>
      <c r="C33" s="120"/>
      <c r="D33" s="25" t="s">
        <v>52</v>
      </c>
      <c r="E33" s="26" t="s">
        <v>128</v>
      </c>
      <c r="F33" s="26" t="s">
        <v>70</v>
      </c>
      <c r="G33" s="26" t="s">
        <v>70</v>
      </c>
      <c r="H33" s="26" t="s">
        <v>514</v>
      </c>
      <c r="I33" s="26" t="s">
        <v>298</v>
      </c>
      <c r="J33" s="26" t="s">
        <v>89</v>
      </c>
      <c r="K33" s="26" t="s">
        <v>360</v>
      </c>
      <c r="L33" s="26" t="s">
        <v>339</v>
      </c>
      <c r="M33" s="26" t="s">
        <v>70</v>
      </c>
      <c r="N33" s="26" t="s">
        <v>70</v>
      </c>
      <c r="O33" s="26" t="s">
        <v>167</v>
      </c>
      <c r="P33" s="26" t="s">
        <v>167</v>
      </c>
      <c r="Q33" s="26" t="s">
        <v>394</v>
      </c>
      <c r="R33" s="26" t="s">
        <v>127</v>
      </c>
      <c r="S33" s="68" t="s">
        <v>70</v>
      </c>
      <c r="T33" s="26" t="s">
        <v>70</v>
      </c>
      <c r="U33" s="26" t="s">
        <v>70</v>
      </c>
      <c r="V33" s="26" t="s">
        <v>189</v>
      </c>
      <c r="W33" s="26" t="s">
        <v>153</v>
      </c>
      <c r="X33" s="26" t="s">
        <v>451</v>
      </c>
      <c r="Y33" s="26" t="s">
        <v>458</v>
      </c>
      <c r="Z33" s="26" t="s">
        <v>189</v>
      </c>
      <c r="AA33" s="26" t="s">
        <v>70</v>
      </c>
      <c r="AB33" s="26" t="s">
        <v>70</v>
      </c>
      <c r="AC33" s="26" t="s">
        <v>543</v>
      </c>
      <c r="AD33" s="26" t="s">
        <v>195</v>
      </c>
      <c r="AE33" s="26" t="s">
        <v>307</v>
      </c>
      <c r="AF33" s="26" t="s">
        <v>483</v>
      </c>
      <c r="AG33" s="26" t="s">
        <v>543</v>
      </c>
      <c r="AH33" s="26" t="s">
        <v>70</v>
      </c>
      <c r="AI33" s="26" t="s">
        <v>70</v>
      </c>
      <c r="AJ33" s="112"/>
      <c r="AK33" s="106"/>
      <c r="AL33" s="194"/>
      <c r="AM33" s="195"/>
      <c r="AN33" s="111"/>
      <c r="AO33" s="181"/>
    </row>
    <row r="34" spans="1:41" ht="21.75" customHeight="1" x14ac:dyDescent="0.4">
      <c r="A34" s="124"/>
      <c r="B34" s="118" t="s">
        <v>49</v>
      </c>
      <c r="C34" s="120" t="s">
        <v>194</v>
      </c>
      <c r="D34" s="25" t="s">
        <v>51</v>
      </c>
      <c r="E34" s="26" t="s">
        <v>121</v>
      </c>
      <c r="F34" s="26" t="s">
        <v>70</v>
      </c>
      <c r="G34" s="26" t="s">
        <v>70</v>
      </c>
      <c r="H34" s="26" t="s">
        <v>121</v>
      </c>
      <c r="I34" s="26" t="s">
        <v>149</v>
      </c>
      <c r="J34" s="26" t="s">
        <v>71</v>
      </c>
      <c r="K34" s="26" t="s">
        <v>149</v>
      </c>
      <c r="L34" s="26" t="s">
        <v>149</v>
      </c>
      <c r="M34" s="26" t="s">
        <v>70</v>
      </c>
      <c r="N34" s="26" t="s">
        <v>70</v>
      </c>
      <c r="O34" s="26" t="s">
        <v>71</v>
      </c>
      <c r="P34" s="26" t="s">
        <v>71</v>
      </c>
      <c r="Q34" s="26" t="s">
        <v>121</v>
      </c>
      <c r="R34" s="26" t="s">
        <v>161</v>
      </c>
      <c r="S34" s="68" t="s">
        <v>70</v>
      </c>
      <c r="T34" s="26" t="s">
        <v>70</v>
      </c>
      <c r="U34" s="26" t="s">
        <v>70</v>
      </c>
      <c r="V34" s="26" t="s">
        <v>68</v>
      </c>
      <c r="W34" s="29" t="s">
        <v>163</v>
      </c>
      <c r="X34" s="26" t="s">
        <v>79</v>
      </c>
      <c r="Y34" s="29" t="s">
        <v>163</v>
      </c>
      <c r="Z34" s="26" t="s">
        <v>161</v>
      </c>
      <c r="AA34" s="26" t="s">
        <v>70</v>
      </c>
      <c r="AB34" s="26" t="s">
        <v>70</v>
      </c>
      <c r="AC34" s="26" t="s">
        <v>75</v>
      </c>
      <c r="AD34" s="26" t="s">
        <v>75</v>
      </c>
      <c r="AE34" s="26" t="s">
        <v>156</v>
      </c>
      <c r="AF34" s="26" t="s">
        <v>149</v>
      </c>
      <c r="AG34" s="231" t="s">
        <v>544</v>
      </c>
      <c r="AH34" s="26" t="s">
        <v>70</v>
      </c>
      <c r="AI34" s="26" t="s">
        <v>70</v>
      </c>
      <c r="AJ34" s="112"/>
      <c r="AK34" s="106" t="s">
        <v>280</v>
      </c>
      <c r="AL34" s="106"/>
      <c r="AM34" s="195">
        <v>1</v>
      </c>
      <c r="AN34" s="111">
        <f>(E34+H34+I34+J34+K34+L34+O34+P34+Q34+R34+V34+W34+X34+Y34+Z34+AC34+AD34+AE34+AF34)/19</f>
        <v>0.37123538011695906</v>
      </c>
      <c r="AO34" s="181">
        <f>(E35+H35+J35+K35+L35+O35+P35+Q35+R35+V35+W35+Y35+Z35+AC35+AD35+AE35+AF35)/17</f>
        <v>0.78488562091503267</v>
      </c>
    </row>
    <row r="35" spans="1:41" ht="21.75" customHeight="1" x14ac:dyDescent="0.4">
      <c r="A35" s="124"/>
      <c r="B35" s="118"/>
      <c r="C35" s="120"/>
      <c r="D35" s="25" t="s">
        <v>52</v>
      </c>
      <c r="E35" s="26" t="s">
        <v>80</v>
      </c>
      <c r="F35" s="26" t="s">
        <v>70</v>
      </c>
      <c r="G35" s="26" t="s">
        <v>70</v>
      </c>
      <c r="H35" s="26" t="s">
        <v>80</v>
      </c>
      <c r="I35" s="41" t="s">
        <v>279</v>
      </c>
      <c r="J35" s="26" t="s">
        <v>166</v>
      </c>
      <c r="K35" s="26" t="s">
        <v>84</v>
      </c>
      <c r="L35" s="26" t="s">
        <v>312</v>
      </c>
      <c r="M35" s="26" t="s">
        <v>70</v>
      </c>
      <c r="N35" s="26" t="s">
        <v>70</v>
      </c>
      <c r="O35" s="26" t="s">
        <v>401</v>
      </c>
      <c r="P35" s="26" t="s">
        <v>88</v>
      </c>
      <c r="Q35" s="26" t="s">
        <v>102</v>
      </c>
      <c r="R35" s="26" t="s">
        <v>102</v>
      </c>
      <c r="S35" s="68" t="s">
        <v>70</v>
      </c>
      <c r="T35" s="26" t="s">
        <v>70</v>
      </c>
      <c r="U35" s="26" t="s">
        <v>70</v>
      </c>
      <c r="V35" s="26" t="s">
        <v>309</v>
      </c>
      <c r="W35" s="26" t="s">
        <v>343</v>
      </c>
      <c r="X35" s="26" t="s">
        <v>487</v>
      </c>
      <c r="Y35" s="26" t="s">
        <v>80</v>
      </c>
      <c r="Z35" s="26" t="s">
        <v>80</v>
      </c>
      <c r="AA35" s="26" t="s">
        <v>70</v>
      </c>
      <c r="AB35" s="26" t="s">
        <v>70</v>
      </c>
      <c r="AC35" s="26" t="s">
        <v>127</v>
      </c>
      <c r="AD35" s="26" t="s">
        <v>115</v>
      </c>
      <c r="AE35" s="26" t="s">
        <v>141</v>
      </c>
      <c r="AF35" s="26" t="s">
        <v>105</v>
      </c>
      <c r="AG35" s="126"/>
      <c r="AH35" s="26" t="s">
        <v>70</v>
      </c>
      <c r="AI35" s="26" t="s">
        <v>70</v>
      </c>
      <c r="AJ35" s="112"/>
      <c r="AK35" s="106"/>
      <c r="AL35" s="106"/>
      <c r="AM35" s="195"/>
      <c r="AN35" s="111"/>
      <c r="AO35" s="181"/>
    </row>
    <row r="36" spans="1:41" ht="21.75" customHeight="1" x14ac:dyDescent="0.4">
      <c r="A36" s="124"/>
      <c r="B36" s="118" t="s">
        <v>56</v>
      </c>
      <c r="C36" s="120" t="s">
        <v>553</v>
      </c>
      <c r="D36" s="25" t="s">
        <v>51</v>
      </c>
      <c r="E36" s="219" t="s">
        <v>70</v>
      </c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1"/>
      <c r="V36" s="26" t="s">
        <v>72</v>
      </c>
      <c r="W36" s="26" t="s">
        <v>120</v>
      </c>
      <c r="X36" s="26" t="s">
        <v>72</v>
      </c>
      <c r="Y36" s="26" t="s">
        <v>72</v>
      </c>
      <c r="Z36" s="26" t="s">
        <v>119</v>
      </c>
      <c r="AA36" s="26" t="s">
        <v>70</v>
      </c>
      <c r="AB36" s="26" t="s">
        <v>70</v>
      </c>
      <c r="AC36" s="26" t="s">
        <v>69</v>
      </c>
      <c r="AD36" s="26" t="s">
        <v>72</v>
      </c>
      <c r="AE36" s="26" t="s">
        <v>72</v>
      </c>
      <c r="AF36" s="26" t="s">
        <v>72</v>
      </c>
      <c r="AG36" s="26" t="s">
        <v>72</v>
      </c>
      <c r="AH36" s="26" t="s">
        <v>70</v>
      </c>
      <c r="AI36" s="26" t="s">
        <v>70</v>
      </c>
      <c r="AJ36" s="112"/>
      <c r="AK36" s="106"/>
      <c r="AL36" s="194"/>
      <c r="AM36" s="195"/>
      <c r="AN36" s="111">
        <f>(V36+W36+X36+Y36+Z36+AC36+AD36+AE36+AF36+AG36)/10</f>
        <v>0.36444444444444446</v>
      </c>
      <c r="AO36" s="181">
        <f>(V37+W37+Y37+Z37+AC37+AD37+AE37+AF37+AG37)/9</f>
        <v>0.77145061728395059</v>
      </c>
    </row>
    <row r="37" spans="1:41" ht="21.75" customHeight="1" x14ac:dyDescent="0.4">
      <c r="A37" s="124"/>
      <c r="B37" s="118"/>
      <c r="C37" s="120"/>
      <c r="D37" s="25" t="s">
        <v>52</v>
      </c>
      <c r="E37" s="222"/>
      <c r="F37" s="223"/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4"/>
      <c r="V37" s="26" t="s">
        <v>85</v>
      </c>
      <c r="W37" s="26" t="s">
        <v>88</v>
      </c>
      <c r="X37" s="26" t="s">
        <v>377</v>
      </c>
      <c r="Y37" s="26" t="s">
        <v>312</v>
      </c>
      <c r="Z37" s="26" t="s">
        <v>312</v>
      </c>
      <c r="AA37" s="26" t="s">
        <v>70</v>
      </c>
      <c r="AB37" s="26" t="s">
        <v>70</v>
      </c>
      <c r="AC37" s="26" t="s">
        <v>312</v>
      </c>
      <c r="AD37" s="26" t="s">
        <v>312</v>
      </c>
      <c r="AE37" s="26" t="s">
        <v>88</v>
      </c>
      <c r="AF37" s="26" t="s">
        <v>85</v>
      </c>
      <c r="AG37" s="26" t="s">
        <v>312</v>
      </c>
      <c r="AH37" s="26" t="s">
        <v>70</v>
      </c>
      <c r="AI37" s="26" t="s">
        <v>70</v>
      </c>
      <c r="AJ37" s="112"/>
      <c r="AK37" s="106"/>
      <c r="AL37" s="194"/>
      <c r="AM37" s="195"/>
      <c r="AN37" s="111"/>
      <c r="AO37" s="181"/>
    </row>
    <row r="38" spans="1:41" ht="21.75" customHeight="1" x14ac:dyDescent="0.4">
      <c r="A38" s="124"/>
      <c r="B38" s="118" t="s">
        <v>56</v>
      </c>
      <c r="C38" s="120" t="s">
        <v>423</v>
      </c>
      <c r="D38" s="25" t="s">
        <v>51</v>
      </c>
      <c r="E38" s="26" t="s">
        <v>74</v>
      </c>
      <c r="F38" s="26" t="s">
        <v>70</v>
      </c>
      <c r="G38" s="26" t="s">
        <v>70</v>
      </c>
      <c r="H38" s="26" t="s">
        <v>72</v>
      </c>
      <c r="I38" s="26" t="s">
        <v>75</v>
      </c>
      <c r="J38" s="26" t="s">
        <v>75</v>
      </c>
      <c r="K38" s="26" t="s">
        <v>121</v>
      </c>
      <c r="L38" s="26" t="s">
        <v>149</v>
      </c>
      <c r="M38" s="26" t="s">
        <v>70</v>
      </c>
      <c r="N38" s="26" t="s">
        <v>70</v>
      </c>
      <c r="O38" s="26" t="s">
        <v>135</v>
      </c>
      <c r="P38" s="26" t="s">
        <v>122</v>
      </c>
      <c r="Q38" s="26" t="s">
        <v>149</v>
      </c>
      <c r="R38" s="26" t="s">
        <v>156</v>
      </c>
      <c r="S38" s="68" t="s">
        <v>70</v>
      </c>
      <c r="T38" s="26" t="s">
        <v>70</v>
      </c>
      <c r="U38" s="26" t="s">
        <v>70</v>
      </c>
      <c r="V38" s="26" t="s">
        <v>162</v>
      </c>
      <c r="W38" s="26" t="s">
        <v>68</v>
      </c>
      <c r="X38" s="126" t="s">
        <v>412</v>
      </c>
      <c r="Y38" s="29" t="s">
        <v>163</v>
      </c>
      <c r="Z38" s="29" t="s">
        <v>485</v>
      </c>
      <c r="AA38" s="26" t="s">
        <v>70</v>
      </c>
      <c r="AB38" s="26" t="s">
        <v>70</v>
      </c>
      <c r="AC38" s="29" t="s">
        <v>336</v>
      </c>
      <c r="AD38" s="219" t="s">
        <v>70</v>
      </c>
      <c r="AE38" s="220"/>
      <c r="AF38" s="220"/>
      <c r="AG38" s="220"/>
      <c r="AH38" s="220"/>
      <c r="AI38" s="221"/>
      <c r="AJ38" s="127"/>
      <c r="AK38" s="106" t="s">
        <v>284</v>
      </c>
      <c r="AL38" s="194"/>
      <c r="AM38" s="195"/>
      <c r="AN38" s="111">
        <f>(E38+H38+I38+J38+K38+L38+O38+P38+Q38+R38+V38+W38+Y38+Z38+AC38)/15</f>
        <v>0.3713425925925925</v>
      </c>
      <c r="AO38" s="181">
        <f>(E39+H39+I39+J39+K39+L39+O39+P39+Q39+R39+V39+W39+Y39+Z39+AC39)/15</f>
        <v>0.78356481481481488</v>
      </c>
    </row>
    <row r="39" spans="1:41" ht="21.75" customHeight="1" thickBot="1" x14ac:dyDescent="0.45">
      <c r="A39" s="124"/>
      <c r="B39" s="119"/>
      <c r="C39" s="121"/>
      <c r="D39" s="31" t="s">
        <v>52</v>
      </c>
      <c r="E39" s="32" t="s">
        <v>86</v>
      </c>
      <c r="F39" s="32" t="s">
        <v>70</v>
      </c>
      <c r="G39" s="32" t="s">
        <v>70</v>
      </c>
      <c r="H39" s="32" t="s">
        <v>157</v>
      </c>
      <c r="I39" s="32" t="s">
        <v>86</v>
      </c>
      <c r="J39" s="32" t="s">
        <v>116</v>
      </c>
      <c r="K39" s="32" t="s">
        <v>103</v>
      </c>
      <c r="L39" s="32" t="s">
        <v>84</v>
      </c>
      <c r="M39" s="32" t="s">
        <v>70</v>
      </c>
      <c r="N39" s="32" t="s">
        <v>70</v>
      </c>
      <c r="O39" s="32" t="s">
        <v>192</v>
      </c>
      <c r="P39" s="32" t="s">
        <v>90</v>
      </c>
      <c r="Q39" s="32" t="s">
        <v>101</v>
      </c>
      <c r="R39" s="32" t="s">
        <v>85</v>
      </c>
      <c r="S39" s="69" t="s">
        <v>70</v>
      </c>
      <c r="T39" s="32" t="s">
        <v>70</v>
      </c>
      <c r="U39" s="32" t="s">
        <v>70</v>
      </c>
      <c r="V39" s="32" t="s">
        <v>141</v>
      </c>
      <c r="W39" s="32" t="s">
        <v>550</v>
      </c>
      <c r="X39" s="182"/>
      <c r="Y39" s="32" t="s">
        <v>85</v>
      </c>
      <c r="Z39" s="32" t="s">
        <v>88</v>
      </c>
      <c r="AA39" s="32" t="s">
        <v>70</v>
      </c>
      <c r="AB39" s="32" t="s">
        <v>70</v>
      </c>
      <c r="AC39" s="32" t="s">
        <v>85</v>
      </c>
      <c r="AD39" s="250"/>
      <c r="AE39" s="251"/>
      <c r="AF39" s="251"/>
      <c r="AG39" s="251"/>
      <c r="AH39" s="251"/>
      <c r="AI39" s="252"/>
      <c r="AJ39" s="215"/>
      <c r="AK39" s="167"/>
      <c r="AL39" s="196"/>
      <c r="AM39" s="197"/>
      <c r="AN39" s="188"/>
      <c r="AO39" s="189"/>
    </row>
    <row r="40" spans="1:41" x14ac:dyDescent="0.4">
      <c r="AM40" s="36">
        <f>SUM(AM4:AM39)</f>
        <v>18</v>
      </c>
    </row>
  </sheetData>
  <mergeCells count="171">
    <mergeCell ref="AM16:AM17"/>
    <mergeCell ref="AN16:AN17"/>
    <mergeCell ref="AO16:AO17"/>
    <mergeCell ref="AN20:AN21"/>
    <mergeCell ref="AO20:AO21"/>
    <mergeCell ref="AN22:AN23"/>
    <mergeCell ref="AN12:AN13"/>
    <mergeCell ref="AO12:AO13"/>
    <mergeCell ref="AM8:AM9"/>
    <mergeCell ref="AM38:AM39"/>
    <mergeCell ref="AN38:AN39"/>
    <mergeCell ref="AO38:AO39"/>
    <mergeCell ref="AL36:AL37"/>
    <mergeCell ref="AM36:AM37"/>
    <mergeCell ref="AN36:AN37"/>
    <mergeCell ref="AO36:AO37"/>
    <mergeCell ref="AO34:AO35"/>
    <mergeCell ref="AO26:AO27"/>
    <mergeCell ref="C36:C37"/>
    <mergeCell ref="AJ36:AJ37"/>
    <mergeCell ref="AK36:AK37"/>
    <mergeCell ref="AD38:AI39"/>
    <mergeCell ref="X38:X39"/>
    <mergeCell ref="V6:X7"/>
    <mergeCell ref="AE14:AG15"/>
    <mergeCell ref="Y24:AG25"/>
    <mergeCell ref="E36:U37"/>
    <mergeCell ref="E18:N19"/>
    <mergeCell ref="AJ18:AJ19"/>
    <mergeCell ref="AK18:AK19"/>
    <mergeCell ref="AL18:AL19"/>
    <mergeCell ref="AM18:AM19"/>
    <mergeCell ref="AN18:AN19"/>
    <mergeCell ref="AO18:AO19"/>
    <mergeCell ref="AG34:AG35"/>
    <mergeCell ref="V20:V21"/>
    <mergeCell ref="AF28:AF29"/>
    <mergeCell ref="AN30:AN31"/>
    <mergeCell ref="AO30:AO31"/>
    <mergeCell ref="AJ32:AJ33"/>
    <mergeCell ref="AK32:AK33"/>
    <mergeCell ref="AL32:AL33"/>
    <mergeCell ref="AM32:AM33"/>
    <mergeCell ref="AL28:AL29"/>
    <mergeCell ref="AM28:AM29"/>
    <mergeCell ref="AN28:AN29"/>
    <mergeCell ref="AO28:AO29"/>
    <mergeCell ref="AN26:AN27"/>
    <mergeCell ref="AO22:AO23"/>
    <mergeCell ref="A30:A39"/>
    <mergeCell ref="B30:B31"/>
    <mergeCell ref="C30:C31"/>
    <mergeCell ref="AJ30:AJ31"/>
    <mergeCell ref="AK30:AK31"/>
    <mergeCell ref="AL30:AL31"/>
    <mergeCell ref="AM30:AM31"/>
    <mergeCell ref="AN32:AN33"/>
    <mergeCell ref="AO32:AO33"/>
    <mergeCell ref="B34:B35"/>
    <mergeCell ref="C34:C35"/>
    <mergeCell ref="AJ34:AJ35"/>
    <mergeCell ref="AK34:AK35"/>
    <mergeCell ref="AL34:AL35"/>
    <mergeCell ref="AM34:AM35"/>
    <mergeCell ref="AN34:AN35"/>
    <mergeCell ref="B32:B33"/>
    <mergeCell ref="C32:C33"/>
    <mergeCell ref="B38:B39"/>
    <mergeCell ref="C38:C39"/>
    <mergeCell ref="AJ38:AJ39"/>
    <mergeCell ref="AK38:AK39"/>
    <mergeCell ref="AL38:AL39"/>
    <mergeCell ref="B36:B37"/>
    <mergeCell ref="AO24:AO25"/>
    <mergeCell ref="B26:B27"/>
    <mergeCell ref="C26:C27"/>
    <mergeCell ref="AJ26:AJ27"/>
    <mergeCell ref="AK26:AK27"/>
    <mergeCell ref="AL26:AL27"/>
    <mergeCell ref="AM26:AM27"/>
    <mergeCell ref="B24:B25"/>
    <mergeCell ref="C24:C25"/>
    <mergeCell ref="AJ24:AJ25"/>
    <mergeCell ref="AK24:AK25"/>
    <mergeCell ref="AL24:AL25"/>
    <mergeCell ref="AM24:AM25"/>
    <mergeCell ref="AN24:AN25"/>
    <mergeCell ref="A20:A29"/>
    <mergeCell ref="B20:B21"/>
    <mergeCell ref="C20:C21"/>
    <mergeCell ref="AJ20:AJ21"/>
    <mergeCell ref="AK20:AK21"/>
    <mergeCell ref="AL20:AL21"/>
    <mergeCell ref="AM20:AM21"/>
    <mergeCell ref="B16:B17"/>
    <mergeCell ref="C16:C17"/>
    <mergeCell ref="AJ16:AJ17"/>
    <mergeCell ref="AK16:AK17"/>
    <mergeCell ref="AL16:AL17"/>
    <mergeCell ref="B22:B23"/>
    <mergeCell ref="C22:C23"/>
    <mergeCell ref="AJ22:AJ23"/>
    <mergeCell ref="AK22:AK23"/>
    <mergeCell ref="AL22:AL23"/>
    <mergeCell ref="AM22:AM23"/>
    <mergeCell ref="B28:B29"/>
    <mergeCell ref="C28:C29"/>
    <mergeCell ref="AJ28:AJ29"/>
    <mergeCell ref="AK28:AK29"/>
    <mergeCell ref="B18:B19"/>
    <mergeCell ref="C18:C19"/>
    <mergeCell ref="B14:B15"/>
    <mergeCell ref="C14:C15"/>
    <mergeCell ref="AJ14:AJ15"/>
    <mergeCell ref="AK14:AK15"/>
    <mergeCell ref="AL14:AL15"/>
    <mergeCell ref="AM14:AM15"/>
    <mergeCell ref="AN14:AN15"/>
    <mergeCell ref="AO14:AO15"/>
    <mergeCell ref="B12:B13"/>
    <mergeCell ref="C12:C13"/>
    <mergeCell ref="AJ12:AJ13"/>
    <mergeCell ref="AK12:AK13"/>
    <mergeCell ref="AL12:AL13"/>
    <mergeCell ref="AM12:AM13"/>
    <mergeCell ref="W12:Y13"/>
    <mergeCell ref="AN8:AN9"/>
    <mergeCell ref="AO8:AO9"/>
    <mergeCell ref="B10:B11"/>
    <mergeCell ref="C10:C11"/>
    <mergeCell ref="AJ10:AJ11"/>
    <mergeCell ref="AK10:AK11"/>
    <mergeCell ref="AL10:AL11"/>
    <mergeCell ref="AM10:AM11"/>
    <mergeCell ref="AN10:AN11"/>
    <mergeCell ref="AO10:AO11"/>
    <mergeCell ref="H8:J9"/>
    <mergeCell ref="P10:R11"/>
    <mergeCell ref="AN2:AN3"/>
    <mergeCell ref="AO2:AO3"/>
    <mergeCell ref="A4:A13"/>
    <mergeCell ref="B4:B5"/>
    <mergeCell ref="C4:C5"/>
    <mergeCell ref="AJ4:AJ5"/>
    <mergeCell ref="AK4:AK5"/>
    <mergeCell ref="AL4:AL5"/>
    <mergeCell ref="AM4:AM5"/>
    <mergeCell ref="AN4:AN5"/>
    <mergeCell ref="AO4:AO5"/>
    <mergeCell ref="B6:B7"/>
    <mergeCell ref="C6:C7"/>
    <mergeCell ref="AJ6:AJ7"/>
    <mergeCell ref="AK6:AK7"/>
    <mergeCell ref="AL6:AL7"/>
    <mergeCell ref="AM6:AM7"/>
    <mergeCell ref="AN6:AN7"/>
    <mergeCell ref="AO6:AO7"/>
    <mergeCell ref="B8:B9"/>
    <mergeCell ref="C8:C9"/>
    <mergeCell ref="AJ8:AJ9"/>
    <mergeCell ref="AK8:AK9"/>
    <mergeCell ref="AL8:AL9"/>
    <mergeCell ref="A1:C1"/>
    <mergeCell ref="D1:I1"/>
    <mergeCell ref="A2:A3"/>
    <mergeCell ref="B2:B3"/>
    <mergeCell ref="C2:C3"/>
    <mergeCell ref="AJ2:AJ3"/>
    <mergeCell ref="AK2:AK3"/>
    <mergeCell ref="AL2:AL3"/>
    <mergeCell ref="AM2:AM3"/>
  </mergeCells>
  <phoneticPr fontId="5" type="noConversion"/>
  <conditionalFormatting sqref="E4:E18">
    <cfRule type="expression" dxfId="315" priority="3">
      <formula>OR(WEEKDAY(E$3)=7,WEEKDAY(E$3)=1)</formula>
    </cfRule>
  </conditionalFormatting>
  <conditionalFormatting sqref="E20:E26">
    <cfRule type="expression" dxfId="314" priority="480">
      <formula>OR(WEEKDAY(E$3)=7,WEEKDAY(E$3)=1)</formula>
    </cfRule>
  </conditionalFormatting>
  <conditionalFormatting sqref="E28:E36">
    <cfRule type="expression" dxfId="313" priority="1">
      <formula>OR(WEEKDAY(E$3)=7,WEEKDAY(E$3)=1)</formula>
    </cfRule>
  </conditionalFormatting>
  <conditionalFormatting sqref="E38:U39">
    <cfRule type="expression" dxfId="312" priority="41">
      <formula>OR(WEEKDAY(E$3)=7,WEEKDAY(E$3)=1)</formula>
    </cfRule>
  </conditionalFormatting>
  <conditionalFormatting sqref="E2:AI3">
    <cfRule type="expression" dxfId="311" priority="497">
      <formula>OR(WEEKDAY(E$3)=7,WEEKDAY(E$3)=1)</formula>
    </cfRule>
  </conditionalFormatting>
  <conditionalFormatting sqref="E3:AI3">
    <cfRule type="expression" dxfId="310" priority="499">
      <formula>WEEKDAY(E3)=7</formula>
    </cfRule>
    <cfRule type="expression" dxfId="309" priority="498">
      <formula>WEEKDAY(E3)=1</formula>
    </cfRule>
  </conditionalFormatting>
  <conditionalFormatting sqref="F4:G17">
    <cfRule type="expression" dxfId="308" priority="151">
      <formula>OR(WEEKDAY(F$3)=7,WEEKDAY(F$3)=1)</formula>
    </cfRule>
  </conditionalFormatting>
  <conditionalFormatting sqref="F20:G35">
    <cfRule type="expression" dxfId="307" priority="44">
      <formula>OR(WEEKDAY(F$3)=7,WEEKDAY(F$3)=1)</formula>
    </cfRule>
  </conditionalFormatting>
  <conditionalFormatting sqref="H4:H8">
    <cfRule type="expression" dxfId="306" priority="28">
      <formula>OR(WEEKDAY(H$3)=7,WEEKDAY(H$3)=1)</formula>
    </cfRule>
  </conditionalFormatting>
  <conditionalFormatting sqref="H20:H24">
    <cfRule type="expression" dxfId="305" priority="334">
      <formula>OR(WEEKDAY(H$3)=7,WEEKDAY(H$3)=1)</formula>
    </cfRule>
  </conditionalFormatting>
  <conditionalFormatting sqref="H26:H35">
    <cfRule type="expression" dxfId="304" priority="5">
      <formula>OR(WEEKDAY(H$3)=7,WEEKDAY(H$3)=1)</formula>
    </cfRule>
  </conditionalFormatting>
  <conditionalFormatting sqref="H10:J17">
    <cfRule type="expression" dxfId="303" priority="430">
      <formula>OR(WEEKDAY(H$3)=7,WEEKDAY(H$3)=1)</formula>
    </cfRule>
  </conditionalFormatting>
  <conditionalFormatting sqref="I6:I7">
    <cfRule type="expression" dxfId="302" priority="434">
      <formula>OR(WEEKDAY(I$3)=7,WEEKDAY(I$3)=1)</formula>
    </cfRule>
  </conditionalFormatting>
  <conditionalFormatting sqref="I4:J4">
    <cfRule type="expression" dxfId="301" priority="442">
      <formula>OR(WEEKDAY(I$3)=7,WEEKDAY(I$3)=1)</formula>
    </cfRule>
  </conditionalFormatting>
  <conditionalFormatting sqref="I20:M35">
    <cfRule type="expression" dxfId="300" priority="9">
      <formula>OR(WEEKDAY(I$3)=7,WEEKDAY(I$3)=1)</formula>
    </cfRule>
  </conditionalFormatting>
  <conditionalFormatting sqref="J5:J7">
    <cfRule type="expression" dxfId="299" priority="438">
      <formula>OR(WEEKDAY(J$3)=7,WEEKDAY(J$3)=1)</formula>
    </cfRule>
  </conditionalFormatting>
  <conditionalFormatting sqref="K4:N17">
    <cfRule type="expression" dxfId="298" priority="179">
      <formula>OR(WEEKDAY(K$3)=7,WEEKDAY(K$3)=1)</formula>
    </cfRule>
  </conditionalFormatting>
  <conditionalFormatting sqref="N20:N23">
    <cfRule type="expression" dxfId="297" priority="843">
      <formula>OR(WEEKDAY(N$3)=7,WEEKDAY(N$3)=1)</formula>
    </cfRule>
  </conditionalFormatting>
  <conditionalFormatting sqref="N25:N35">
    <cfRule type="expression" dxfId="296" priority="62">
      <formula>OR(WEEKDAY(N$3)=7,WEEKDAY(N$3)=1)</formula>
    </cfRule>
  </conditionalFormatting>
  <conditionalFormatting sqref="N24:O24">
    <cfRule type="expression" dxfId="295" priority="704">
      <formula>OR(WEEKDAY(N$3)=7,WEEKDAY(N$3)=1)</formula>
    </cfRule>
  </conditionalFormatting>
  <conditionalFormatting sqref="O4:O22">
    <cfRule type="expression" dxfId="294" priority="12">
      <formula>OR(WEEKDAY(O$3)=7,WEEKDAY(O$3)=1)</formula>
    </cfRule>
  </conditionalFormatting>
  <conditionalFormatting sqref="O25:O28">
    <cfRule type="expression" dxfId="293" priority="352">
      <formula>OR(WEEKDAY(O$3)=7,WEEKDAY(O$3)=1)</formula>
    </cfRule>
  </conditionalFormatting>
  <conditionalFormatting sqref="O30:Q35">
    <cfRule type="expression" dxfId="292" priority="392">
      <formula>OR(WEEKDAY(O$3)=7,WEEKDAY(O$3)=1)</formula>
    </cfRule>
  </conditionalFormatting>
  <conditionalFormatting sqref="P5:P10">
    <cfRule type="expression" dxfId="291" priority="27">
      <formula>OR(WEEKDAY(P$3)=7,WEEKDAY(P$3)=1)</formula>
    </cfRule>
  </conditionalFormatting>
  <conditionalFormatting sqref="P4:Q4">
    <cfRule type="expression" dxfId="290" priority="456">
      <formula>OR(WEEKDAY(P$3)=7,WEEKDAY(P$3)=1)</formula>
    </cfRule>
  </conditionalFormatting>
  <conditionalFormatting sqref="P20:Q29">
    <cfRule type="expression" dxfId="289" priority="11">
      <formula>OR(WEEKDAY(P$3)=7,WEEKDAY(P$3)=1)</formula>
    </cfRule>
  </conditionalFormatting>
  <conditionalFormatting sqref="P12:R19">
    <cfRule type="expression" dxfId="288" priority="6">
      <formula>OR(WEEKDAY(P$3)=7,WEEKDAY(P$3)=1)</formula>
    </cfRule>
  </conditionalFormatting>
  <conditionalFormatting sqref="Q5:Q9">
    <cfRule type="expression" dxfId="287" priority="443">
      <formula>OR(WEEKDAY(Q$3)=7,WEEKDAY(Q$3)=1)</formula>
    </cfRule>
  </conditionalFormatting>
  <conditionalFormatting sqref="R4:R9">
    <cfRule type="expression" dxfId="286" priority="634">
      <formula>OR(WEEKDAY(R$3)=7,WEEKDAY(R$3)=1)</formula>
    </cfRule>
  </conditionalFormatting>
  <conditionalFormatting sqref="R24">
    <cfRule type="expression" dxfId="285" priority="351">
      <formula>OR(WEEKDAY(R$3)=7,WEEKDAY(R$3)=1)</formula>
    </cfRule>
  </conditionalFormatting>
  <conditionalFormatting sqref="R20:S23">
    <cfRule type="expression" dxfId="284" priority="584">
      <formula>OR(WEEKDAY(R$3)=7,WEEKDAY(R$3)=1)</formula>
    </cfRule>
  </conditionalFormatting>
  <conditionalFormatting sqref="R26:S35">
    <cfRule type="expression" dxfId="283" priority="476">
      <formula>OR(WEEKDAY(R$3)=7,WEEKDAY(R$3)=1)</formula>
    </cfRule>
  </conditionalFormatting>
  <conditionalFormatting sqref="S4:S19">
    <cfRule type="expression" dxfId="282" priority="29">
      <formula>OR(WEEKDAY(S$3)=7,WEEKDAY(S$3)=1)</formula>
    </cfRule>
  </conditionalFormatting>
  <conditionalFormatting sqref="T4:U35">
    <cfRule type="expression" dxfId="281" priority="80">
      <formula>OR(WEEKDAY(T$3)=7,WEEKDAY(T$3)=1)</formula>
    </cfRule>
  </conditionalFormatting>
  <conditionalFormatting sqref="V4:V6">
    <cfRule type="expression" dxfId="280" priority="25">
      <formula>OR(WEEKDAY(V$3)=7,WEEKDAY(V$3)=1)</formula>
    </cfRule>
  </conditionalFormatting>
  <conditionalFormatting sqref="V8:V15">
    <cfRule type="expression" dxfId="279" priority="336">
      <formula>OR(WEEKDAY(V$3)=7,WEEKDAY(V$3)=1)</formula>
    </cfRule>
  </conditionalFormatting>
  <conditionalFormatting sqref="V20">
    <cfRule type="expression" dxfId="278" priority="16">
      <formula>OR(WEEKDAY(V$3)=7,WEEKDAY(V$3)=1)</formula>
    </cfRule>
  </conditionalFormatting>
  <conditionalFormatting sqref="V22:V39">
    <cfRule type="expression" dxfId="277" priority="4">
      <formula>OR(WEEKDAY(V$3)=7,WEEKDAY(V$3)=1)</formula>
    </cfRule>
  </conditionalFormatting>
  <conditionalFormatting sqref="W11:W12">
    <cfRule type="expression" dxfId="276" priority="26">
      <formula>OR(WEEKDAY(W$3)=7,WEEKDAY(W$3)=1)</formula>
    </cfRule>
  </conditionalFormatting>
  <conditionalFormatting sqref="W37:W39">
    <cfRule type="expression" dxfId="275" priority="377">
      <formula>OR(WEEKDAY(W$3)=7,WEEKDAY(W$3)=1)</formula>
    </cfRule>
  </conditionalFormatting>
  <conditionalFormatting sqref="W4:X4">
    <cfRule type="expression" dxfId="274" priority="944">
      <formula>OR(WEEKDAY(W$3)=7,WEEKDAY(W$3)=1)</formula>
    </cfRule>
  </conditionalFormatting>
  <conditionalFormatting sqref="W8:X10">
    <cfRule type="expression" dxfId="273" priority="512">
      <formula>OR(WEEKDAY(W$3)=7,WEEKDAY(W$3)=1)</formula>
    </cfRule>
  </conditionalFormatting>
  <conditionalFormatting sqref="W14:X36">
    <cfRule type="expression" dxfId="272" priority="296">
      <formula>OR(WEEKDAY(W$3)=7,WEEKDAY(W$3)=1)</formula>
    </cfRule>
  </conditionalFormatting>
  <conditionalFormatting sqref="X5">
    <cfRule type="expression" dxfId="271" priority="940">
      <formula>OR(WEEKDAY(X$3)=7,WEEKDAY(X$3)=1)</formula>
    </cfRule>
  </conditionalFormatting>
  <conditionalFormatting sqref="X11">
    <cfRule type="expression" dxfId="270" priority="715">
      <formula>OR(WEEKDAY(X$3)=7,WEEKDAY(X$3)=1)</formula>
    </cfRule>
  </conditionalFormatting>
  <conditionalFormatting sqref="X37:X38">
    <cfRule type="expression" dxfId="269" priority="10">
      <formula>OR(WEEKDAY(X$3)=7,WEEKDAY(X$3)=1)</formula>
    </cfRule>
  </conditionalFormatting>
  <conditionalFormatting sqref="Y24">
    <cfRule type="expression" dxfId="268" priority="571">
      <formula>OR(WEEKDAY(Y$3)=7,WEEKDAY(Y$3)=1)</formula>
    </cfRule>
  </conditionalFormatting>
  <conditionalFormatting sqref="Y34">
    <cfRule type="expression" dxfId="267" priority="21">
      <formula>OR(WEEKDAY(Y$3)=7,WEEKDAY(Y$3)=1)</formula>
    </cfRule>
  </conditionalFormatting>
  <conditionalFormatting sqref="Y38:Y39">
    <cfRule type="expression" dxfId="266" priority="19">
      <formula>OR(WEEKDAY(Y$3)=7,WEEKDAY(Y$3)=1)</formula>
    </cfRule>
  </conditionalFormatting>
  <conditionalFormatting sqref="Y4:Z11">
    <cfRule type="expression" dxfId="265" priority="616">
      <formula>OR(WEEKDAY(Y$3)=7,WEEKDAY(Y$3)=1)</formula>
    </cfRule>
  </conditionalFormatting>
  <conditionalFormatting sqref="Y14:Z23">
    <cfRule type="expression" dxfId="264" priority="278">
      <formula>OR(WEEKDAY(Y$3)=7,WEEKDAY(Y$3)=1)</formula>
    </cfRule>
  </conditionalFormatting>
  <conditionalFormatting sqref="Y26:Z33">
    <cfRule type="expression" dxfId="263" priority="474">
      <formula>OR(WEEKDAY(Y$3)=7,WEEKDAY(Y$3)=1)</formula>
    </cfRule>
  </conditionalFormatting>
  <conditionalFormatting sqref="Y35:Z37">
    <cfRule type="expression" dxfId="262" priority="542">
      <formula>OR(WEEKDAY(Y$3)=7,WEEKDAY(Y$3)=1)</formula>
    </cfRule>
  </conditionalFormatting>
  <conditionalFormatting sqref="Z12:Z13">
    <cfRule type="expression" dxfId="261" priority="618">
      <formula>OR(WEEKDAY(Z$3)=7,WEEKDAY(Z$3)=1)</formula>
    </cfRule>
  </conditionalFormatting>
  <conditionalFormatting sqref="Z34:Z35">
    <cfRule type="expression" dxfId="260" priority="543">
      <formula>OR(WEEKDAY(Z$3)=7,WEEKDAY(Z$3)=1)</formula>
    </cfRule>
  </conditionalFormatting>
  <conditionalFormatting sqref="Z38">
    <cfRule type="expression" dxfId="259" priority="348">
      <formula>OR(WEEKDAY(Z$3)=7,WEEKDAY(Z$3)=1)</formula>
    </cfRule>
  </conditionalFormatting>
  <conditionalFormatting sqref="AA4:AB23">
    <cfRule type="expression" dxfId="258" priority="263">
      <formula>OR(WEEKDAY(AA$3)=7,WEEKDAY(AA$3)=1)</formula>
    </cfRule>
  </conditionalFormatting>
  <conditionalFormatting sqref="AA26:AC39">
    <cfRule type="expression" dxfId="257" priority="18">
      <formula>OR(WEEKDAY(AA$3)=7,WEEKDAY(AA$3)=1)</formula>
    </cfRule>
  </conditionalFormatting>
  <conditionalFormatting sqref="AC4:AC14">
    <cfRule type="expression" dxfId="256" priority="503">
      <formula>OR(WEEKDAY(AC$3)=7,WEEKDAY(AC$3)=1)</formula>
    </cfRule>
  </conditionalFormatting>
  <conditionalFormatting sqref="AC16:AC23">
    <cfRule type="expression" dxfId="255" priority="7">
      <formula>OR(WEEKDAY(AC$3)=7,WEEKDAY(AC$3)=1)</formula>
    </cfRule>
  </conditionalFormatting>
  <conditionalFormatting sqref="AD11:AD19">
    <cfRule type="expression" dxfId="254" priority="273">
      <formula>OR(WEEKDAY(AD$3)=7,WEEKDAY(AD$3)=1)</formula>
    </cfRule>
  </conditionalFormatting>
  <conditionalFormatting sqref="AD37:AD38">
    <cfRule type="expression" dxfId="253" priority="368">
      <formula>OR(WEEKDAY(AD$3)=7,WEEKDAY(AD$3)=1)</formula>
    </cfRule>
  </conditionalFormatting>
  <conditionalFormatting sqref="AD5:AE10">
    <cfRule type="expression" dxfId="252" priority="457">
      <formula>OR(WEEKDAY(AD$3)=7,WEEKDAY(AD$3)=1)</formula>
    </cfRule>
  </conditionalFormatting>
  <conditionalFormatting sqref="AD20:AE23">
    <cfRule type="expression" dxfId="251" priority="404">
      <formula>OR(WEEKDAY(AD$3)=7,WEEKDAY(AD$3)=1)</formula>
    </cfRule>
  </conditionalFormatting>
  <conditionalFormatting sqref="AD28:AE36 AE37">
    <cfRule type="expression" dxfId="250" priority="371">
      <formula>OR(WEEKDAY(AD$3)=7,WEEKDAY(AD$3)=1)</formula>
    </cfRule>
  </conditionalFormatting>
  <conditionalFormatting sqref="AD4:AF4">
    <cfRule type="expression" dxfId="249" priority="358">
      <formula>OR(WEEKDAY(AD$3)=7,WEEKDAY(AD$3)=1)</formula>
    </cfRule>
  </conditionalFormatting>
  <conditionalFormatting sqref="AD26:AG27">
    <cfRule type="expression" dxfId="248" priority="8">
      <formula>OR(WEEKDAY(AD$3)=7,WEEKDAY(AD$3)=1)</formula>
    </cfRule>
  </conditionalFormatting>
  <conditionalFormatting sqref="AE11:AE14">
    <cfRule type="expression" dxfId="247" priority="24">
      <formula>OR(WEEKDAY(AE$3)=7,WEEKDAY(AE$3)=1)</formula>
    </cfRule>
  </conditionalFormatting>
  <conditionalFormatting sqref="AE16:AE19">
    <cfRule type="expression" dxfId="246" priority="274">
      <formula>OR(WEEKDAY(AE$3)=7,WEEKDAY(AE$3)=1)</formula>
    </cfRule>
  </conditionalFormatting>
  <conditionalFormatting sqref="AF22">
    <cfRule type="expression" dxfId="245" priority="347">
      <formula>OR(WEEKDAY(AF$3)=7,WEEKDAY(AF$3)=1)</formula>
    </cfRule>
  </conditionalFormatting>
  <conditionalFormatting sqref="AF28">
    <cfRule type="expression" dxfId="244" priority="14">
      <formula>OR(WEEKDAY(AF$3)=7,WEEKDAY(AF$3)=1)</formula>
    </cfRule>
  </conditionalFormatting>
  <conditionalFormatting sqref="AF32:AF36">
    <cfRule type="expression" dxfId="243" priority="534">
      <formula>OR(WEEKDAY(AF$3)=7,WEEKDAY(AF$3)=1)</formula>
    </cfRule>
  </conditionalFormatting>
  <conditionalFormatting sqref="AF6:AG13">
    <cfRule type="expression" dxfId="242" priority="307">
      <formula>OR(WEEKDAY(AF$3)=7,WEEKDAY(AF$3)=1)</formula>
    </cfRule>
  </conditionalFormatting>
  <conditionalFormatting sqref="AF16:AG21">
    <cfRule type="expression" dxfId="241" priority="276">
      <formula>OR(WEEKDAY(AF$3)=7,WEEKDAY(AF$3)=1)</formula>
    </cfRule>
  </conditionalFormatting>
  <conditionalFormatting sqref="AF30:AG31">
    <cfRule type="expression" dxfId="240" priority="536">
      <formula>OR(WEEKDAY(AF$3)=7,WEEKDAY(AF$3)=1)</formula>
    </cfRule>
  </conditionalFormatting>
  <conditionalFormatting sqref="AG22:AG23">
    <cfRule type="expression" dxfId="239" priority="566">
      <formula>OR(WEEKDAY(AG$3)=7,WEEKDAY(AG$3)=1)</formula>
    </cfRule>
  </conditionalFormatting>
  <conditionalFormatting sqref="AG32">
    <cfRule type="expression" dxfId="238" priority="357">
      <formula>OR(WEEKDAY(AG$3)=7,WEEKDAY(AG$3)=1)</formula>
    </cfRule>
  </conditionalFormatting>
  <conditionalFormatting sqref="AG34">
    <cfRule type="expression" dxfId="237" priority="17">
      <formula>OR(WEEKDAY(AG$3)=7,WEEKDAY(AG$3)=1)</formula>
    </cfRule>
  </conditionalFormatting>
  <conditionalFormatting sqref="AH4:AI37">
    <cfRule type="expression" dxfId="236" priority="97">
      <formula>OR(WEEKDAY(AH$3)=7,WEEKDAY(AH$3)=1)</formula>
    </cfRule>
  </conditionalFormatting>
  <pageMargins left="0.25" right="0.25" top="0.75" bottom="0.75" header="0.3" footer="0.3"/>
  <pageSetup paperSize="9" scale="49" fitToHeight="0" orientation="landscape" cellComments="asDisplaye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7CB70-0C13-4AAB-93BB-F389C35A2D6B}">
  <sheetPr>
    <pageSetUpPr fitToPage="1"/>
  </sheetPr>
  <dimension ref="A1:BO40"/>
  <sheetViews>
    <sheetView topLeftCell="B1" zoomScale="85" zoomScaleNormal="85" workbookViewId="0">
      <pane xSplit="2" ySplit="2" topLeftCell="D3" activePane="bottomRight" state="frozen"/>
      <selection activeCell="B1" sqref="B1"/>
      <selection pane="topRight" activeCell="D1" sqref="D1"/>
      <selection pane="bottomLeft" activeCell="B3" sqref="B3"/>
      <selection pane="bottomRight" activeCell="E4" sqref="E4"/>
    </sheetView>
  </sheetViews>
  <sheetFormatPr defaultColWidth="9" defaultRowHeight="15.6" x14ac:dyDescent="0.4"/>
  <cols>
    <col min="1" max="1" width="17.19921875" style="27" customWidth="1"/>
    <col min="2" max="2" width="5.8984375" style="27" customWidth="1"/>
    <col min="3" max="3" width="13" style="35" customWidth="1"/>
    <col min="4" max="4" width="7.3984375" style="35" customWidth="1"/>
    <col min="5" max="18" width="5.3984375" style="27" customWidth="1"/>
    <col min="19" max="19" width="5.3984375" style="86" customWidth="1"/>
    <col min="20" max="34" width="5.3984375" style="27" customWidth="1"/>
    <col min="35" max="37" width="9" style="27" customWidth="1"/>
    <col min="38" max="38" width="9.59765625" style="36" customWidth="1"/>
    <col min="39" max="39" width="9" style="27"/>
    <col min="40" max="40" width="10" style="27" bestFit="1" customWidth="1"/>
    <col min="41" max="16384" width="9" style="27"/>
  </cols>
  <sheetData>
    <row r="1" spans="1:67" s="15" customFormat="1" ht="36.75" customHeight="1" thickBot="1" x14ac:dyDescent="0.45">
      <c r="A1" s="130">
        <v>45078</v>
      </c>
      <c r="B1" s="130"/>
      <c r="C1" s="131"/>
      <c r="D1" s="132">
        <v>45901</v>
      </c>
      <c r="E1" s="133"/>
      <c r="F1" s="133"/>
      <c r="G1" s="133"/>
      <c r="H1" s="133"/>
      <c r="I1" s="134"/>
      <c r="J1" s="14"/>
      <c r="K1" s="14"/>
      <c r="L1" s="14"/>
      <c r="M1" s="14"/>
      <c r="N1" s="14"/>
      <c r="O1" s="14"/>
      <c r="P1" s="14"/>
      <c r="Q1" s="14"/>
      <c r="R1" s="14"/>
      <c r="S1" s="85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L1" s="16"/>
    </row>
    <row r="2" spans="1:67" s="23" customFormat="1" ht="21.75" customHeight="1" x14ac:dyDescent="0.4">
      <c r="A2" s="192" t="s">
        <v>37</v>
      </c>
      <c r="B2" s="135" t="s">
        <v>38</v>
      </c>
      <c r="C2" s="139" t="s">
        <v>39</v>
      </c>
      <c r="D2" s="64" t="s">
        <v>40</v>
      </c>
      <c r="E2" s="18">
        <f>D1</f>
        <v>45901</v>
      </c>
      <c r="F2" s="19">
        <f>E2+1</f>
        <v>45902</v>
      </c>
      <c r="G2" s="19">
        <f t="shared" ref="G2:AH2" si="0">F2+1</f>
        <v>45903</v>
      </c>
      <c r="H2" s="19">
        <f t="shared" si="0"/>
        <v>45904</v>
      </c>
      <c r="I2" s="19">
        <f t="shared" si="0"/>
        <v>45905</v>
      </c>
      <c r="J2" s="19">
        <f t="shared" si="0"/>
        <v>45906</v>
      </c>
      <c r="K2" s="19">
        <f t="shared" si="0"/>
        <v>45907</v>
      </c>
      <c r="L2" s="19">
        <f t="shared" si="0"/>
        <v>45908</v>
      </c>
      <c r="M2" s="19">
        <f t="shared" si="0"/>
        <v>45909</v>
      </c>
      <c r="N2" s="19">
        <f t="shared" si="0"/>
        <v>45910</v>
      </c>
      <c r="O2" s="19">
        <f t="shared" si="0"/>
        <v>45911</v>
      </c>
      <c r="P2" s="19">
        <f t="shared" si="0"/>
        <v>45912</v>
      </c>
      <c r="Q2" s="19">
        <f t="shared" si="0"/>
        <v>45913</v>
      </c>
      <c r="R2" s="19">
        <f t="shared" si="0"/>
        <v>45914</v>
      </c>
      <c r="S2" s="18">
        <f t="shared" si="0"/>
        <v>45915</v>
      </c>
      <c r="T2" s="19">
        <f t="shared" si="0"/>
        <v>45916</v>
      </c>
      <c r="U2" s="19">
        <f t="shared" si="0"/>
        <v>45917</v>
      </c>
      <c r="V2" s="19">
        <f t="shared" si="0"/>
        <v>45918</v>
      </c>
      <c r="W2" s="19">
        <f t="shared" si="0"/>
        <v>45919</v>
      </c>
      <c r="X2" s="19">
        <f t="shared" si="0"/>
        <v>45920</v>
      </c>
      <c r="Y2" s="19">
        <f t="shared" si="0"/>
        <v>45921</v>
      </c>
      <c r="Z2" s="19">
        <f t="shared" si="0"/>
        <v>45922</v>
      </c>
      <c r="AA2" s="20">
        <f t="shared" si="0"/>
        <v>45923</v>
      </c>
      <c r="AB2" s="20">
        <f t="shared" si="0"/>
        <v>45924</v>
      </c>
      <c r="AC2" s="18">
        <f>AB2+1</f>
        <v>45925</v>
      </c>
      <c r="AD2" s="19">
        <f t="shared" si="0"/>
        <v>45926</v>
      </c>
      <c r="AE2" s="19">
        <f t="shared" si="0"/>
        <v>45927</v>
      </c>
      <c r="AF2" s="19">
        <f t="shared" si="0"/>
        <v>45928</v>
      </c>
      <c r="AG2" s="19">
        <f t="shared" si="0"/>
        <v>45929</v>
      </c>
      <c r="AH2" s="19">
        <f t="shared" si="0"/>
        <v>45930</v>
      </c>
      <c r="AI2" s="141" t="s">
        <v>41</v>
      </c>
      <c r="AJ2" s="145" t="s">
        <v>42</v>
      </c>
      <c r="AK2" s="147" t="s">
        <v>43</v>
      </c>
      <c r="AL2" s="149" t="s">
        <v>44</v>
      </c>
      <c r="AM2" s="151" t="s">
        <v>45</v>
      </c>
      <c r="AN2" s="153" t="s">
        <v>46</v>
      </c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</row>
    <row r="3" spans="1:67" s="24" customFormat="1" ht="18" thickBot="1" x14ac:dyDescent="0.45">
      <c r="A3" s="193"/>
      <c r="B3" s="136"/>
      <c r="C3" s="140"/>
      <c r="D3" s="65" t="s">
        <v>47</v>
      </c>
      <c r="E3" s="39">
        <f>E2</f>
        <v>45901</v>
      </c>
      <c r="F3" s="40">
        <f t="shared" ref="F3:AH3" si="1">F2</f>
        <v>45902</v>
      </c>
      <c r="G3" s="40">
        <f t="shared" si="1"/>
        <v>45903</v>
      </c>
      <c r="H3" s="40">
        <f t="shared" si="1"/>
        <v>45904</v>
      </c>
      <c r="I3" s="40">
        <f t="shared" si="1"/>
        <v>45905</v>
      </c>
      <c r="J3" s="40">
        <f t="shared" si="1"/>
        <v>45906</v>
      </c>
      <c r="K3" s="40">
        <f t="shared" si="1"/>
        <v>45907</v>
      </c>
      <c r="L3" s="40">
        <f t="shared" si="1"/>
        <v>45908</v>
      </c>
      <c r="M3" s="40">
        <f t="shared" si="1"/>
        <v>45909</v>
      </c>
      <c r="N3" s="40">
        <f t="shared" si="1"/>
        <v>45910</v>
      </c>
      <c r="O3" s="40">
        <f t="shared" si="1"/>
        <v>45911</v>
      </c>
      <c r="P3" s="40">
        <f t="shared" si="1"/>
        <v>45912</v>
      </c>
      <c r="Q3" s="40">
        <f t="shared" si="1"/>
        <v>45913</v>
      </c>
      <c r="R3" s="40">
        <f t="shared" si="1"/>
        <v>45914</v>
      </c>
      <c r="S3" s="39">
        <f t="shared" si="1"/>
        <v>45915</v>
      </c>
      <c r="T3" s="40">
        <f t="shared" si="1"/>
        <v>45916</v>
      </c>
      <c r="U3" s="40">
        <f t="shared" si="1"/>
        <v>45917</v>
      </c>
      <c r="V3" s="40">
        <f t="shared" si="1"/>
        <v>45918</v>
      </c>
      <c r="W3" s="40">
        <f t="shared" si="1"/>
        <v>45919</v>
      </c>
      <c r="X3" s="40">
        <f t="shared" si="1"/>
        <v>45920</v>
      </c>
      <c r="Y3" s="40">
        <f t="shared" si="1"/>
        <v>45921</v>
      </c>
      <c r="Z3" s="40">
        <f t="shared" si="1"/>
        <v>45922</v>
      </c>
      <c r="AA3" s="40">
        <f t="shared" si="1"/>
        <v>45923</v>
      </c>
      <c r="AB3" s="40">
        <f t="shared" si="1"/>
        <v>45924</v>
      </c>
      <c r="AC3" s="40">
        <f t="shared" si="1"/>
        <v>45925</v>
      </c>
      <c r="AD3" s="40">
        <f t="shared" si="1"/>
        <v>45926</v>
      </c>
      <c r="AE3" s="40">
        <f t="shared" si="1"/>
        <v>45927</v>
      </c>
      <c r="AF3" s="40">
        <f t="shared" si="1"/>
        <v>45928</v>
      </c>
      <c r="AG3" s="40">
        <f t="shared" si="1"/>
        <v>45929</v>
      </c>
      <c r="AH3" s="40">
        <f t="shared" si="1"/>
        <v>45930</v>
      </c>
      <c r="AI3" s="142"/>
      <c r="AJ3" s="146"/>
      <c r="AK3" s="148"/>
      <c r="AL3" s="150"/>
      <c r="AM3" s="152"/>
      <c r="AN3" s="154"/>
    </row>
    <row r="4" spans="1:67" ht="21.75" customHeight="1" thickBot="1" x14ac:dyDescent="0.45">
      <c r="A4" s="155" t="s">
        <v>48</v>
      </c>
      <c r="B4" s="259" t="s">
        <v>67</v>
      </c>
      <c r="C4" s="260" t="s">
        <v>50</v>
      </c>
      <c r="D4" s="87" t="s">
        <v>51</v>
      </c>
      <c r="E4" s="88" t="s">
        <v>380</v>
      </c>
      <c r="F4" s="88" t="s">
        <v>182</v>
      </c>
      <c r="G4" s="88" t="s">
        <v>509</v>
      </c>
      <c r="H4" s="88" t="s">
        <v>318</v>
      </c>
      <c r="I4" s="253" t="s">
        <v>176</v>
      </c>
      <c r="J4" s="88" t="s">
        <v>70</v>
      </c>
      <c r="K4" s="88" t="s">
        <v>70</v>
      </c>
      <c r="L4" s="88" t="s">
        <v>180</v>
      </c>
      <c r="M4" s="88" t="s">
        <v>181</v>
      </c>
      <c r="N4" s="88" t="s">
        <v>73</v>
      </c>
      <c r="O4" s="88" t="s">
        <v>318</v>
      </c>
      <c r="P4" s="88" t="s">
        <v>318</v>
      </c>
      <c r="Q4" s="88" t="s">
        <v>70</v>
      </c>
      <c r="R4" s="88" t="s">
        <v>70</v>
      </c>
      <c r="S4" s="88" t="s">
        <v>370</v>
      </c>
      <c r="T4" s="88" t="s">
        <v>370</v>
      </c>
      <c r="U4" s="88" t="s">
        <v>107</v>
      </c>
      <c r="V4" s="88" t="s">
        <v>182</v>
      </c>
      <c r="W4" s="88" t="s">
        <v>180</v>
      </c>
      <c r="X4" s="88" t="s">
        <v>70</v>
      </c>
      <c r="Y4" s="88" t="s">
        <v>70</v>
      </c>
      <c r="Z4" s="88" t="s">
        <v>365</v>
      </c>
      <c r="AA4" s="88" t="s">
        <v>181</v>
      </c>
      <c r="AB4" s="88" t="s">
        <v>99</v>
      </c>
      <c r="AC4" s="88" t="s">
        <v>182</v>
      </c>
      <c r="AD4" s="88" t="s">
        <v>180</v>
      </c>
      <c r="AE4" s="88" t="s">
        <v>70</v>
      </c>
      <c r="AF4" s="88" t="s">
        <v>70</v>
      </c>
      <c r="AG4" s="88" t="s">
        <v>181</v>
      </c>
      <c r="AH4" s="88" t="s">
        <v>137</v>
      </c>
      <c r="AI4" s="261" t="s">
        <v>353</v>
      </c>
      <c r="AJ4" s="265"/>
      <c r="AK4" s="255"/>
      <c r="AL4" s="258">
        <v>1</v>
      </c>
      <c r="AM4" s="254">
        <f>(E4+F4+G4+H4+L4+M4+N4+O4+P4+S4+T4+U4+V4+W4+Z4+AA4+AB4+AC4+AD4+AG4+AH4)/21</f>
        <v>0.31924603174603172</v>
      </c>
      <c r="AN4" s="203">
        <f>(E5+F5+G5+H5+L5+M5+N5+O5+P5+S5+T5+V5+W5+Z5+AA5+AB5+AC5+AD5+AG5+AH5)/20</f>
        <v>0.78190972222222233</v>
      </c>
      <c r="AP4" s="24"/>
    </row>
    <row r="5" spans="1:67" ht="21.75" customHeight="1" thickTop="1" thickBot="1" x14ac:dyDescent="0.45">
      <c r="A5" s="156"/>
      <c r="B5" s="186"/>
      <c r="C5" s="120"/>
      <c r="D5" s="25" t="s">
        <v>52</v>
      </c>
      <c r="E5" s="26" t="s">
        <v>81</v>
      </c>
      <c r="F5" s="26" t="s">
        <v>147</v>
      </c>
      <c r="G5" s="26" t="s">
        <v>165</v>
      </c>
      <c r="H5" s="26" t="s">
        <v>158</v>
      </c>
      <c r="I5" s="126"/>
      <c r="J5" s="26" t="s">
        <v>70</v>
      </c>
      <c r="K5" s="26" t="s">
        <v>70</v>
      </c>
      <c r="L5" s="26" t="s">
        <v>91</v>
      </c>
      <c r="M5" s="26" t="s">
        <v>92</v>
      </c>
      <c r="N5" s="26" t="s">
        <v>103</v>
      </c>
      <c r="O5" s="26" t="s">
        <v>91</v>
      </c>
      <c r="P5" s="26" t="s">
        <v>91</v>
      </c>
      <c r="Q5" s="26" t="s">
        <v>70</v>
      </c>
      <c r="R5" s="26" t="s">
        <v>70</v>
      </c>
      <c r="S5" s="26" t="s">
        <v>92</v>
      </c>
      <c r="T5" s="26" t="s">
        <v>102</v>
      </c>
      <c r="U5" s="26" t="s">
        <v>344</v>
      </c>
      <c r="V5" s="26" t="s">
        <v>158</v>
      </c>
      <c r="W5" s="26" t="s">
        <v>85</v>
      </c>
      <c r="X5" s="26" t="s">
        <v>70</v>
      </c>
      <c r="Y5" s="26" t="s">
        <v>70</v>
      </c>
      <c r="Z5" s="26" t="s">
        <v>92</v>
      </c>
      <c r="AA5" s="26" t="s">
        <v>150</v>
      </c>
      <c r="AB5" s="26" t="s">
        <v>158</v>
      </c>
      <c r="AC5" s="26" t="s">
        <v>91</v>
      </c>
      <c r="AD5" s="26" t="s">
        <v>83</v>
      </c>
      <c r="AE5" s="26" t="s">
        <v>70</v>
      </c>
      <c r="AF5" s="26" t="s">
        <v>70</v>
      </c>
      <c r="AG5" s="26" t="s">
        <v>191</v>
      </c>
      <c r="AH5" s="26" t="s">
        <v>166</v>
      </c>
      <c r="AI5" s="127"/>
      <c r="AJ5" s="162"/>
      <c r="AK5" s="194"/>
      <c r="AL5" s="195"/>
      <c r="AM5" s="111"/>
      <c r="AN5" s="181"/>
      <c r="AO5" s="28"/>
    </row>
    <row r="6" spans="1:67" ht="21.75" customHeight="1" thickTop="1" thickBot="1" x14ac:dyDescent="0.45">
      <c r="A6" s="156"/>
      <c r="B6" s="186" t="s">
        <v>49</v>
      </c>
      <c r="C6" s="120" t="s">
        <v>424</v>
      </c>
      <c r="D6" s="25" t="s">
        <v>51</v>
      </c>
      <c r="E6" s="26" t="s">
        <v>100</v>
      </c>
      <c r="F6" s="26" t="s">
        <v>95</v>
      </c>
      <c r="G6" s="26" t="s">
        <v>95</v>
      </c>
      <c r="H6" s="26" t="s">
        <v>134</v>
      </c>
      <c r="I6" s="26" t="s">
        <v>311</v>
      </c>
      <c r="J6" s="26" t="s">
        <v>70</v>
      </c>
      <c r="K6" s="26" t="s">
        <v>70</v>
      </c>
      <c r="L6" s="26" t="s">
        <v>143</v>
      </c>
      <c r="M6" s="26" t="s">
        <v>136</v>
      </c>
      <c r="N6" s="26" t="s">
        <v>135</v>
      </c>
      <c r="O6" s="26" t="s">
        <v>119</v>
      </c>
      <c r="P6" s="26" t="s">
        <v>134</v>
      </c>
      <c r="Q6" s="26" t="s">
        <v>70</v>
      </c>
      <c r="R6" s="26" t="s">
        <v>70</v>
      </c>
      <c r="S6" s="26" t="s">
        <v>161</v>
      </c>
      <c r="T6" s="26" t="s">
        <v>69</v>
      </c>
      <c r="U6" s="26" t="s">
        <v>119</v>
      </c>
      <c r="V6" s="26" t="s">
        <v>179</v>
      </c>
      <c r="W6" s="26" t="s">
        <v>74</v>
      </c>
      <c r="X6" s="26" t="s">
        <v>70</v>
      </c>
      <c r="Y6" s="26" t="s">
        <v>70</v>
      </c>
      <c r="Z6" s="26" t="s">
        <v>179</v>
      </c>
      <c r="AA6" s="26" t="s">
        <v>179</v>
      </c>
      <c r="AB6" s="26" t="s">
        <v>95</v>
      </c>
      <c r="AC6" s="26" t="s">
        <v>99</v>
      </c>
      <c r="AD6" s="126" t="s">
        <v>176</v>
      </c>
      <c r="AE6" s="26" t="s">
        <v>70</v>
      </c>
      <c r="AF6" s="26" t="s">
        <v>70</v>
      </c>
      <c r="AG6" s="26" t="s">
        <v>95</v>
      </c>
      <c r="AH6" s="26" t="s">
        <v>93</v>
      </c>
      <c r="AI6" s="127"/>
      <c r="AJ6" s="106"/>
      <c r="AK6" s="194"/>
      <c r="AL6" s="195">
        <v>1</v>
      </c>
      <c r="AM6" s="111">
        <f>(E6+F6+G6+H6+I6+L6+M6+N6+O6+P6+S6+T6+U6+V6+W6+Z6+AA6+AB6+AC6+AG6+AH6)/21</f>
        <v>0.35972222222222217</v>
      </c>
      <c r="AN6" s="181">
        <f>(E7+F7+G7+H7+I7+L7+M7+N7+O7+P7+S7+T7+V7+W7+Z7+AA7+AB7+AC7+AG7+AH7)/20</f>
        <v>0.78239583333333351</v>
      </c>
      <c r="AO6" s="28"/>
    </row>
    <row r="7" spans="1:67" ht="21.75" customHeight="1" thickTop="1" thickBot="1" x14ac:dyDescent="0.45">
      <c r="A7" s="156"/>
      <c r="B7" s="186"/>
      <c r="C7" s="120"/>
      <c r="D7" s="25" t="s">
        <v>52</v>
      </c>
      <c r="E7" s="26" t="s">
        <v>452</v>
      </c>
      <c r="F7" s="26" t="s">
        <v>147</v>
      </c>
      <c r="G7" s="26" t="s">
        <v>80</v>
      </c>
      <c r="H7" s="26" t="s">
        <v>86</v>
      </c>
      <c r="I7" s="26" t="s">
        <v>80</v>
      </c>
      <c r="J7" s="26" t="s">
        <v>70</v>
      </c>
      <c r="K7" s="26" t="s">
        <v>70</v>
      </c>
      <c r="L7" s="26" t="s">
        <v>309</v>
      </c>
      <c r="M7" s="26" t="s">
        <v>150</v>
      </c>
      <c r="N7" s="26" t="s">
        <v>103</v>
      </c>
      <c r="O7" s="26" t="s">
        <v>102</v>
      </c>
      <c r="P7" s="26" t="s">
        <v>102</v>
      </c>
      <c r="Q7" s="26" t="s">
        <v>70</v>
      </c>
      <c r="R7" s="26" t="s">
        <v>70</v>
      </c>
      <c r="S7" s="26" t="s">
        <v>86</v>
      </c>
      <c r="T7" s="26" t="s">
        <v>102</v>
      </c>
      <c r="U7" s="26" t="s">
        <v>364</v>
      </c>
      <c r="V7" s="26" t="s">
        <v>158</v>
      </c>
      <c r="W7" s="26" t="s">
        <v>85</v>
      </c>
      <c r="X7" s="26" t="s">
        <v>70</v>
      </c>
      <c r="Y7" s="26" t="s">
        <v>70</v>
      </c>
      <c r="Z7" s="26" t="s">
        <v>92</v>
      </c>
      <c r="AA7" s="26" t="s">
        <v>561</v>
      </c>
      <c r="AB7" s="26" t="s">
        <v>147</v>
      </c>
      <c r="AC7" s="26" t="s">
        <v>91</v>
      </c>
      <c r="AD7" s="126"/>
      <c r="AE7" s="26" t="s">
        <v>70</v>
      </c>
      <c r="AF7" s="26" t="s">
        <v>70</v>
      </c>
      <c r="AG7" s="26" t="s">
        <v>289</v>
      </c>
      <c r="AH7" s="26" t="s">
        <v>166</v>
      </c>
      <c r="AI7" s="127"/>
      <c r="AJ7" s="106"/>
      <c r="AK7" s="194"/>
      <c r="AL7" s="195"/>
      <c r="AM7" s="111"/>
      <c r="AN7" s="181"/>
      <c r="AO7" s="28"/>
    </row>
    <row r="8" spans="1:67" ht="21.75" customHeight="1" thickTop="1" thickBot="1" x14ac:dyDescent="0.45">
      <c r="A8" s="156"/>
      <c r="B8" s="186" t="s">
        <v>53</v>
      </c>
      <c r="C8" s="120" t="s">
        <v>54</v>
      </c>
      <c r="D8" s="25" t="s">
        <v>51</v>
      </c>
      <c r="E8" s="26" t="s">
        <v>156</v>
      </c>
      <c r="F8" s="26" t="s">
        <v>156</v>
      </c>
      <c r="G8" s="26" t="s">
        <v>156</v>
      </c>
      <c r="H8" s="26" t="s">
        <v>149</v>
      </c>
      <c r="I8" s="26" t="s">
        <v>149</v>
      </c>
      <c r="J8" s="26" t="s">
        <v>70</v>
      </c>
      <c r="K8" s="26" t="s">
        <v>70</v>
      </c>
      <c r="L8" s="26" t="s">
        <v>162</v>
      </c>
      <c r="M8" s="26" t="s">
        <v>162</v>
      </c>
      <c r="N8" s="26" t="s">
        <v>160</v>
      </c>
      <c r="O8" s="26" t="s">
        <v>156</v>
      </c>
      <c r="P8" s="26" t="s">
        <v>149</v>
      </c>
      <c r="Q8" s="26" t="s">
        <v>70</v>
      </c>
      <c r="R8" s="26" t="s">
        <v>70</v>
      </c>
      <c r="S8" s="26" t="s">
        <v>156</v>
      </c>
      <c r="T8" s="26" t="s">
        <v>71</v>
      </c>
      <c r="U8" s="29" t="s">
        <v>163</v>
      </c>
      <c r="V8" s="26" t="s">
        <v>149</v>
      </c>
      <c r="W8" s="126" t="s">
        <v>176</v>
      </c>
      <c r="X8" s="26" t="s">
        <v>70</v>
      </c>
      <c r="Y8" s="26" t="s">
        <v>70</v>
      </c>
      <c r="Z8" s="26" t="s">
        <v>149</v>
      </c>
      <c r="AA8" s="26" t="s">
        <v>68</v>
      </c>
      <c r="AB8" s="26" t="s">
        <v>71</v>
      </c>
      <c r="AC8" s="26" t="s">
        <v>149</v>
      </c>
      <c r="AD8" s="26" t="s">
        <v>120</v>
      </c>
      <c r="AE8" s="26" t="s">
        <v>70</v>
      </c>
      <c r="AF8" s="26" t="s">
        <v>70</v>
      </c>
      <c r="AG8" s="26" t="s">
        <v>149</v>
      </c>
      <c r="AH8" s="26" t="s">
        <v>156</v>
      </c>
      <c r="AI8" s="112"/>
      <c r="AJ8" s="106" t="s">
        <v>282</v>
      </c>
      <c r="AK8" s="194"/>
      <c r="AL8" s="195">
        <v>1</v>
      </c>
      <c r="AM8" s="111">
        <f>(E8+F8+G8+H8+I8+L8+M8+N8+O8+P8+S8+T8+U8+V8+Z8+AA8+AB8+AC8+AD8+AG8+AH8)/21</f>
        <v>0.37228835978835972</v>
      </c>
      <c r="AN8" s="181">
        <f>(E9+F9+G9+H9+I9+L9+M9+N9+O9+P9+S9+T9+V9+Z9+AA9+AB9+AC9+AD9+AG9+AH9)/20</f>
        <v>0.75694444444444442</v>
      </c>
    </row>
    <row r="9" spans="1:67" ht="21.75" customHeight="1" thickTop="1" thickBot="1" x14ac:dyDescent="0.45">
      <c r="A9" s="156"/>
      <c r="B9" s="186"/>
      <c r="C9" s="120"/>
      <c r="D9" s="25" t="s">
        <v>52</v>
      </c>
      <c r="E9" s="26" t="s">
        <v>473</v>
      </c>
      <c r="F9" s="26" t="s">
        <v>234</v>
      </c>
      <c r="G9" s="26" t="s">
        <v>362</v>
      </c>
      <c r="H9" s="26" t="s">
        <v>234</v>
      </c>
      <c r="I9" s="26" t="s">
        <v>229</v>
      </c>
      <c r="J9" s="26" t="s">
        <v>70</v>
      </c>
      <c r="K9" s="26" t="s">
        <v>70</v>
      </c>
      <c r="L9" s="26" t="s">
        <v>228</v>
      </c>
      <c r="M9" s="26" t="s">
        <v>222</v>
      </c>
      <c r="N9" s="26" t="s">
        <v>200</v>
      </c>
      <c r="O9" s="26" t="s">
        <v>222</v>
      </c>
      <c r="P9" s="26" t="s">
        <v>362</v>
      </c>
      <c r="Q9" s="26" t="s">
        <v>70</v>
      </c>
      <c r="R9" s="26" t="s">
        <v>70</v>
      </c>
      <c r="S9" s="26" t="s">
        <v>362</v>
      </c>
      <c r="T9" s="26" t="s">
        <v>292</v>
      </c>
      <c r="U9" s="26" t="s">
        <v>541</v>
      </c>
      <c r="V9" s="26" t="s">
        <v>338</v>
      </c>
      <c r="W9" s="126"/>
      <c r="X9" s="26" t="s">
        <v>70</v>
      </c>
      <c r="Y9" s="26" t="s">
        <v>70</v>
      </c>
      <c r="Z9" s="26" t="s">
        <v>229</v>
      </c>
      <c r="AA9" s="26" t="s">
        <v>362</v>
      </c>
      <c r="AB9" s="26" t="s">
        <v>292</v>
      </c>
      <c r="AC9" s="26" t="s">
        <v>228</v>
      </c>
      <c r="AD9" s="26" t="s">
        <v>534</v>
      </c>
      <c r="AE9" s="26" t="s">
        <v>70</v>
      </c>
      <c r="AF9" s="26" t="s">
        <v>70</v>
      </c>
      <c r="AG9" s="26" t="s">
        <v>292</v>
      </c>
      <c r="AH9" s="26" t="s">
        <v>240</v>
      </c>
      <c r="AI9" s="112"/>
      <c r="AJ9" s="106"/>
      <c r="AK9" s="194"/>
      <c r="AL9" s="195"/>
      <c r="AM9" s="111"/>
      <c r="AN9" s="181"/>
    </row>
    <row r="10" spans="1:67" ht="21.75" customHeight="1" thickTop="1" thickBot="1" x14ac:dyDescent="0.45">
      <c r="A10" s="157"/>
      <c r="B10" s="186" t="s">
        <v>53</v>
      </c>
      <c r="C10" s="120" t="s">
        <v>243</v>
      </c>
      <c r="D10" s="25" t="s">
        <v>51</v>
      </c>
      <c r="E10" s="26" t="s">
        <v>78</v>
      </c>
      <c r="F10" s="26" t="s">
        <v>76</v>
      </c>
      <c r="G10" s="26" t="s">
        <v>94</v>
      </c>
      <c r="H10" s="26" t="s">
        <v>78</v>
      </c>
      <c r="I10" s="26" t="s">
        <v>100</v>
      </c>
      <c r="J10" s="26" t="s">
        <v>70</v>
      </c>
      <c r="K10" s="26" t="s">
        <v>70</v>
      </c>
      <c r="L10" s="26" t="s">
        <v>69</v>
      </c>
      <c r="M10" s="26" t="s">
        <v>68</v>
      </c>
      <c r="N10" s="26" t="s">
        <v>99</v>
      </c>
      <c r="O10" s="26" t="s">
        <v>76</v>
      </c>
      <c r="P10" s="26" t="s">
        <v>73</v>
      </c>
      <c r="Q10" s="26" t="s">
        <v>70</v>
      </c>
      <c r="R10" s="26" t="s">
        <v>70</v>
      </c>
      <c r="S10" s="26" t="s">
        <v>69</v>
      </c>
      <c r="T10" s="26" t="s">
        <v>99</v>
      </c>
      <c r="U10" s="26" t="s">
        <v>79</v>
      </c>
      <c r="V10" s="26" t="s">
        <v>97</v>
      </c>
      <c r="W10" s="34" t="s">
        <v>93</v>
      </c>
      <c r="X10" s="26" t="s">
        <v>70</v>
      </c>
      <c r="Y10" s="26" t="s">
        <v>70</v>
      </c>
      <c r="Z10" s="26" t="s">
        <v>136</v>
      </c>
      <c r="AA10" s="26" t="s">
        <v>149</v>
      </c>
      <c r="AB10" s="126" t="s">
        <v>176</v>
      </c>
      <c r="AC10" s="126" t="s">
        <v>176</v>
      </c>
      <c r="AD10" s="26" t="s">
        <v>160</v>
      </c>
      <c r="AE10" s="26" t="s">
        <v>70</v>
      </c>
      <c r="AF10" s="26" t="s">
        <v>70</v>
      </c>
      <c r="AG10" s="26" t="s">
        <v>99</v>
      </c>
      <c r="AH10" s="26" t="s">
        <v>99</v>
      </c>
      <c r="AI10" s="194"/>
      <c r="AJ10" s="106"/>
      <c r="AK10" s="194"/>
      <c r="AL10" s="200">
        <v>2</v>
      </c>
      <c r="AM10" s="111">
        <f>(E10+F10+G10+H10+I10+L10+M10+N10+O10+P10+S10+T10+U10+V10+W10+Z10+AA10+AD10+AG10+AH10)/20</f>
        <v>0.36180555555555555</v>
      </c>
      <c r="AN10" s="128">
        <f>(E11+F11+G11+H11+I11+L11+M11+N11+O11+P11+S11+T11+V11+W11+Z11+AA11+AG11+AD11+AH11)/19</f>
        <v>0.78077485380116973</v>
      </c>
    </row>
    <row r="11" spans="1:67" ht="21.75" customHeight="1" thickTop="1" thickBot="1" x14ac:dyDescent="0.45">
      <c r="A11" s="157"/>
      <c r="B11" s="186"/>
      <c r="C11" s="120"/>
      <c r="D11" s="25" t="s">
        <v>52</v>
      </c>
      <c r="E11" s="26" t="s">
        <v>141</v>
      </c>
      <c r="F11" s="26" t="s">
        <v>147</v>
      </c>
      <c r="G11" s="26" t="s">
        <v>141</v>
      </c>
      <c r="H11" s="26" t="s">
        <v>158</v>
      </c>
      <c r="I11" s="26" t="s">
        <v>80</v>
      </c>
      <c r="J11" s="26" t="s">
        <v>70</v>
      </c>
      <c r="K11" s="26" t="s">
        <v>70</v>
      </c>
      <c r="L11" s="26" t="s">
        <v>151</v>
      </c>
      <c r="M11" s="26" t="s">
        <v>92</v>
      </c>
      <c r="N11" s="26" t="s">
        <v>103</v>
      </c>
      <c r="O11" s="26" t="s">
        <v>91</v>
      </c>
      <c r="P11" s="26" t="s">
        <v>102</v>
      </c>
      <c r="Q11" s="26" t="s">
        <v>70</v>
      </c>
      <c r="R11" s="26" t="s">
        <v>70</v>
      </c>
      <c r="S11" s="26" t="s">
        <v>150</v>
      </c>
      <c r="T11" s="26" t="s">
        <v>91</v>
      </c>
      <c r="U11" s="26" t="s">
        <v>364</v>
      </c>
      <c r="V11" s="26" t="s">
        <v>158</v>
      </c>
      <c r="W11" s="26" t="s">
        <v>85</v>
      </c>
      <c r="X11" s="26" t="s">
        <v>70</v>
      </c>
      <c r="Y11" s="26" t="s">
        <v>70</v>
      </c>
      <c r="Z11" s="26" t="s">
        <v>84</v>
      </c>
      <c r="AA11" s="26" t="s">
        <v>561</v>
      </c>
      <c r="AB11" s="126"/>
      <c r="AC11" s="126"/>
      <c r="AD11" s="26" t="s">
        <v>101</v>
      </c>
      <c r="AE11" s="26" t="s">
        <v>70</v>
      </c>
      <c r="AF11" s="26" t="s">
        <v>70</v>
      </c>
      <c r="AG11" s="26" t="s">
        <v>191</v>
      </c>
      <c r="AH11" s="26" t="s">
        <v>158</v>
      </c>
      <c r="AI11" s="194"/>
      <c r="AJ11" s="106"/>
      <c r="AK11" s="194"/>
      <c r="AL11" s="200"/>
      <c r="AM11" s="111"/>
      <c r="AN11" s="105"/>
    </row>
    <row r="12" spans="1:67" ht="21.75" customHeight="1" thickTop="1" thickBot="1" x14ac:dyDescent="0.45">
      <c r="A12" s="157"/>
      <c r="B12" s="186" t="s">
        <v>56</v>
      </c>
      <c r="C12" s="120" t="s">
        <v>177</v>
      </c>
      <c r="D12" s="25" t="s">
        <v>51</v>
      </c>
      <c r="E12" s="26" t="s">
        <v>111</v>
      </c>
      <c r="F12" s="26" t="s">
        <v>440</v>
      </c>
      <c r="G12" s="26" t="s">
        <v>111</v>
      </c>
      <c r="H12" s="26" t="s">
        <v>111</v>
      </c>
      <c r="I12" s="26" t="s">
        <v>111</v>
      </c>
      <c r="J12" s="26" t="s">
        <v>70</v>
      </c>
      <c r="K12" s="26" t="s">
        <v>70</v>
      </c>
      <c r="L12" s="26" t="s">
        <v>174</v>
      </c>
      <c r="M12" s="26" t="s">
        <v>111</v>
      </c>
      <c r="N12" s="26" t="s">
        <v>111</v>
      </c>
      <c r="O12" s="26" t="s">
        <v>317</v>
      </c>
      <c r="P12" s="26" t="s">
        <v>111</v>
      </c>
      <c r="Q12" s="26" t="s">
        <v>70</v>
      </c>
      <c r="R12" s="26" t="s">
        <v>70</v>
      </c>
      <c r="S12" s="26" t="s">
        <v>470</v>
      </c>
      <c r="T12" s="26" t="s">
        <v>111</v>
      </c>
      <c r="U12" s="26" t="s">
        <v>111</v>
      </c>
      <c r="V12" s="126" t="s">
        <v>176</v>
      </c>
      <c r="W12" s="26" t="s">
        <v>138</v>
      </c>
      <c r="X12" s="26" t="s">
        <v>70</v>
      </c>
      <c r="Y12" s="26" t="s">
        <v>70</v>
      </c>
      <c r="Z12" s="26" t="s">
        <v>437</v>
      </c>
      <c r="AA12" s="26" t="s">
        <v>470</v>
      </c>
      <c r="AB12" s="26" t="s">
        <v>111</v>
      </c>
      <c r="AC12" s="26" t="s">
        <v>111</v>
      </c>
      <c r="AD12" s="26" t="s">
        <v>470</v>
      </c>
      <c r="AE12" s="26" t="s">
        <v>70</v>
      </c>
      <c r="AF12" s="26" t="s">
        <v>70</v>
      </c>
      <c r="AG12" s="26" t="s">
        <v>111</v>
      </c>
      <c r="AH12" s="26" t="s">
        <v>111</v>
      </c>
      <c r="AI12" s="194" t="s">
        <v>565</v>
      </c>
      <c r="AJ12" s="106"/>
      <c r="AK12" s="194"/>
      <c r="AL12" s="200">
        <v>1</v>
      </c>
      <c r="AM12" s="170">
        <f>(E12+F12+G12+H12+I12+L12+M12+N12+O12+P12+S12+T12+U12+W12+Z12+AA12+AB12+AC12+AD12+AG12+AH12)/21</f>
        <v>0.32711640211640214</v>
      </c>
      <c r="AN12" s="181">
        <f>(E13+F13+G13+H13+I13+L13+M13+N13+O13+P13+S13+T13+W13+Z13+AA13+AB13+AC13+AD13+AG13+AH13)/20</f>
        <v>0.78187499999999999</v>
      </c>
    </row>
    <row r="13" spans="1:67" ht="21.75" customHeight="1" thickTop="1" thickBot="1" x14ac:dyDescent="0.45">
      <c r="A13" s="158"/>
      <c r="B13" s="186"/>
      <c r="C13" s="120"/>
      <c r="D13" s="25" t="s">
        <v>52</v>
      </c>
      <c r="E13" s="26" t="s">
        <v>90</v>
      </c>
      <c r="F13" s="26" t="s">
        <v>92</v>
      </c>
      <c r="G13" s="26" t="s">
        <v>307</v>
      </c>
      <c r="H13" s="26" t="s">
        <v>349</v>
      </c>
      <c r="I13" s="26" t="s">
        <v>103</v>
      </c>
      <c r="J13" s="26" t="s">
        <v>70</v>
      </c>
      <c r="K13" s="26" t="s">
        <v>70</v>
      </c>
      <c r="L13" s="26" t="s">
        <v>83</v>
      </c>
      <c r="M13" s="26" t="s">
        <v>89</v>
      </c>
      <c r="N13" s="26" t="s">
        <v>102</v>
      </c>
      <c r="O13" s="26" t="s">
        <v>89</v>
      </c>
      <c r="P13" s="26" t="s">
        <v>88</v>
      </c>
      <c r="Q13" s="26" t="s">
        <v>70</v>
      </c>
      <c r="R13" s="26" t="s">
        <v>70</v>
      </c>
      <c r="S13" s="26" t="s">
        <v>165</v>
      </c>
      <c r="T13" s="26" t="s">
        <v>308</v>
      </c>
      <c r="U13" s="26" t="s">
        <v>395</v>
      </c>
      <c r="V13" s="126"/>
      <c r="W13" s="26" t="s">
        <v>101</v>
      </c>
      <c r="X13" s="26" t="s">
        <v>70</v>
      </c>
      <c r="Y13" s="26" t="s">
        <v>70</v>
      </c>
      <c r="Z13" s="26" t="s">
        <v>102</v>
      </c>
      <c r="AA13" s="26" t="s">
        <v>89</v>
      </c>
      <c r="AB13" s="26" t="s">
        <v>89</v>
      </c>
      <c r="AC13" s="26" t="s">
        <v>150</v>
      </c>
      <c r="AD13" s="26" t="s">
        <v>101</v>
      </c>
      <c r="AE13" s="26" t="s">
        <v>70</v>
      </c>
      <c r="AF13" s="26" t="s">
        <v>70</v>
      </c>
      <c r="AG13" s="26" t="s">
        <v>83</v>
      </c>
      <c r="AH13" s="26" t="s">
        <v>158</v>
      </c>
      <c r="AI13" s="194"/>
      <c r="AJ13" s="106"/>
      <c r="AK13" s="194"/>
      <c r="AL13" s="200"/>
      <c r="AM13" s="183"/>
      <c r="AN13" s="181"/>
    </row>
    <row r="14" spans="1:67" ht="21.75" customHeight="1" x14ac:dyDescent="0.4">
      <c r="A14" s="30"/>
      <c r="B14" s="186" t="s">
        <v>56</v>
      </c>
      <c r="C14" s="120" t="s">
        <v>57</v>
      </c>
      <c r="D14" s="25" t="s">
        <v>51</v>
      </c>
      <c r="E14" s="26" t="s">
        <v>122</v>
      </c>
      <c r="F14" s="26" t="s">
        <v>71</v>
      </c>
      <c r="G14" s="26" t="s">
        <v>135</v>
      </c>
      <c r="H14" s="26" t="s">
        <v>160</v>
      </c>
      <c r="I14" s="26" t="s">
        <v>79</v>
      </c>
      <c r="J14" s="26" t="s">
        <v>70</v>
      </c>
      <c r="K14" s="26" t="s">
        <v>70</v>
      </c>
      <c r="L14" s="26" t="s">
        <v>135</v>
      </c>
      <c r="M14" s="26" t="s">
        <v>161</v>
      </c>
      <c r="N14" s="26" t="s">
        <v>160</v>
      </c>
      <c r="O14" s="26" t="s">
        <v>135</v>
      </c>
      <c r="P14" s="26" t="s">
        <v>160</v>
      </c>
      <c r="Q14" s="26" t="s">
        <v>70</v>
      </c>
      <c r="R14" s="26" t="s">
        <v>70</v>
      </c>
      <c r="S14" s="26" t="s">
        <v>122</v>
      </c>
      <c r="T14" s="26" t="s">
        <v>135</v>
      </c>
      <c r="U14" s="26" t="s">
        <v>135</v>
      </c>
      <c r="V14" s="26" t="s">
        <v>71</v>
      </c>
      <c r="W14" s="26" t="s">
        <v>161</v>
      </c>
      <c r="X14" s="26" t="s">
        <v>70</v>
      </c>
      <c r="Y14" s="26" t="s">
        <v>70</v>
      </c>
      <c r="Z14" s="26" t="s">
        <v>79</v>
      </c>
      <c r="AA14" s="26" t="s">
        <v>135</v>
      </c>
      <c r="AB14" s="26" t="s">
        <v>156</v>
      </c>
      <c r="AC14" s="26" t="s">
        <v>79</v>
      </c>
      <c r="AD14" s="26" t="s">
        <v>135</v>
      </c>
      <c r="AE14" s="26" t="s">
        <v>70</v>
      </c>
      <c r="AF14" s="26" t="s">
        <v>70</v>
      </c>
      <c r="AG14" s="26" t="s">
        <v>135</v>
      </c>
      <c r="AH14" s="26" t="s">
        <v>156</v>
      </c>
      <c r="AI14" s="194"/>
      <c r="AJ14" s="106"/>
      <c r="AK14" s="194"/>
      <c r="AL14" s="200"/>
      <c r="AM14" s="170">
        <f>(E14+F14+G14+H14+I14+L14+M14+N14+O14+P14+S14+T14+U14+V14+W14+Z14+AA14+AB14+AC14+AD14+AG14+AH14)/22</f>
        <v>0.37124368686868697</v>
      </c>
      <c r="AN14" s="128">
        <f>(E15+F15+G15+H15+I15+L15+M15+N15+O15+P15+S15+T15+V15+W15+Z15+AA15+AB15+AC15+AD15+AG15+AH15)/21</f>
        <v>0.78184523809523809</v>
      </c>
    </row>
    <row r="15" spans="1:67" ht="21.75" customHeight="1" x14ac:dyDescent="0.4">
      <c r="A15" s="30"/>
      <c r="B15" s="186"/>
      <c r="C15" s="120"/>
      <c r="D15" s="25" t="s">
        <v>52</v>
      </c>
      <c r="E15" s="26" t="s">
        <v>123</v>
      </c>
      <c r="F15" s="26" t="s">
        <v>92</v>
      </c>
      <c r="G15" s="26" t="s">
        <v>307</v>
      </c>
      <c r="H15" s="26" t="s">
        <v>349</v>
      </c>
      <c r="I15" s="26" t="s">
        <v>103</v>
      </c>
      <c r="J15" s="26" t="s">
        <v>70</v>
      </c>
      <c r="K15" s="26" t="s">
        <v>70</v>
      </c>
      <c r="L15" s="26" t="s">
        <v>83</v>
      </c>
      <c r="M15" s="26" t="s">
        <v>89</v>
      </c>
      <c r="N15" s="26" t="s">
        <v>102</v>
      </c>
      <c r="O15" s="26" t="s">
        <v>89</v>
      </c>
      <c r="P15" s="26" t="s">
        <v>80</v>
      </c>
      <c r="Q15" s="26" t="s">
        <v>70</v>
      </c>
      <c r="R15" s="26" t="s">
        <v>70</v>
      </c>
      <c r="S15" s="26" t="s">
        <v>165</v>
      </c>
      <c r="T15" s="26" t="s">
        <v>308</v>
      </c>
      <c r="U15" s="26" t="s">
        <v>395</v>
      </c>
      <c r="V15" s="26" t="s">
        <v>116</v>
      </c>
      <c r="W15" s="26" t="s">
        <v>101</v>
      </c>
      <c r="X15" s="26" t="s">
        <v>70</v>
      </c>
      <c r="Y15" s="26" t="s">
        <v>70</v>
      </c>
      <c r="Z15" s="26" t="s">
        <v>102</v>
      </c>
      <c r="AA15" s="26" t="s">
        <v>89</v>
      </c>
      <c r="AB15" s="26" t="s">
        <v>89</v>
      </c>
      <c r="AC15" s="26" t="s">
        <v>102</v>
      </c>
      <c r="AD15" s="26" t="s">
        <v>101</v>
      </c>
      <c r="AE15" s="26" t="s">
        <v>70</v>
      </c>
      <c r="AF15" s="26" t="s">
        <v>70</v>
      </c>
      <c r="AG15" s="26" t="s">
        <v>83</v>
      </c>
      <c r="AH15" s="26" t="s">
        <v>158</v>
      </c>
      <c r="AI15" s="194"/>
      <c r="AJ15" s="106"/>
      <c r="AK15" s="194"/>
      <c r="AL15" s="200"/>
      <c r="AM15" s="183"/>
      <c r="AN15" s="105"/>
    </row>
    <row r="16" spans="1:67" ht="21.75" customHeight="1" x14ac:dyDescent="0.4">
      <c r="A16" s="30"/>
      <c r="B16" s="186" t="s">
        <v>56</v>
      </c>
      <c r="C16" s="120" t="s">
        <v>426</v>
      </c>
      <c r="D16" s="25" t="s">
        <v>51</v>
      </c>
      <c r="E16" s="26" t="s">
        <v>152</v>
      </c>
      <c r="F16" s="26" t="s">
        <v>156</v>
      </c>
      <c r="G16" s="26" t="s">
        <v>71</v>
      </c>
      <c r="H16" s="26" t="s">
        <v>160</v>
      </c>
      <c r="I16" s="26" t="s">
        <v>152</v>
      </c>
      <c r="J16" s="26" t="s">
        <v>70</v>
      </c>
      <c r="K16" s="26" t="s">
        <v>70</v>
      </c>
      <c r="L16" s="26" t="s">
        <v>160</v>
      </c>
      <c r="M16" s="26" t="s">
        <v>160</v>
      </c>
      <c r="N16" s="26" t="s">
        <v>122</v>
      </c>
      <c r="O16" s="26" t="s">
        <v>69</v>
      </c>
      <c r="P16" s="26" t="s">
        <v>135</v>
      </c>
      <c r="Q16" s="26" t="s">
        <v>70</v>
      </c>
      <c r="R16" s="26" t="s">
        <v>70</v>
      </c>
      <c r="S16" s="26" t="s">
        <v>71</v>
      </c>
      <c r="T16" s="26" t="s">
        <v>78</v>
      </c>
      <c r="U16" s="26" t="s">
        <v>76</v>
      </c>
      <c r="V16" s="26" t="s">
        <v>120</v>
      </c>
      <c r="W16" s="26" t="s">
        <v>160</v>
      </c>
      <c r="X16" s="26" t="s">
        <v>70</v>
      </c>
      <c r="Y16" s="26" t="s">
        <v>70</v>
      </c>
      <c r="Z16" s="26" t="s">
        <v>76</v>
      </c>
      <c r="AA16" s="26" t="s">
        <v>79</v>
      </c>
      <c r="AB16" s="26" t="s">
        <v>346</v>
      </c>
      <c r="AC16" s="26" t="s">
        <v>120</v>
      </c>
      <c r="AD16" s="26" t="s">
        <v>122</v>
      </c>
      <c r="AE16" s="26" t="s">
        <v>70</v>
      </c>
      <c r="AF16" s="26" t="s">
        <v>70</v>
      </c>
      <c r="AG16" s="26" t="s">
        <v>76</v>
      </c>
      <c r="AH16" s="26" t="s">
        <v>69</v>
      </c>
      <c r="AI16" s="194"/>
      <c r="AJ16" s="106"/>
      <c r="AK16" s="194"/>
      <c r="AL16" s="200">
        <v>1</v>
      </c>
      <c r="AM16" s="170">
        <f>(E16+F16+G16+H16+I16+L16+M16+N16+O16+P16+S16+T16+U16+V16+W16+Z16+AA16+AB16+AC16+AD16+AG16+AH16)/22</f>
        <v>0.36729797979797979</v>
      </c>
      <c r="AN16" s="105">
        <f>(E17+F17+G17+H17+I17+L17+M17+N17+O17+S17+T17+V17+Z17+AA17+AB17+AC17+AD17+AG17+AH17)/19</f>
        <v>0.7774122807017545</v>
      </c>
    </row>
    <row r="17" spans="1:40" ht="21.75" customHeight="1" x14ac:dyDescent="0.4">
      <c r="A17" s="30"/>
      <c r="B17" s="186"/>
      <c r="C17" s="120"/>
      <c r="D17" s="25" t="s">
        <v>52</v>
      </c>
      <c r="E17" s="26" t="s">
        <v>141</v>
      </c>
      <c r="F17" s="26" t="s">
        <v>312</v>
      </c>
      <c r="G17" s="26" t="s">
        <v>80</v>
      </c>
      <c r="H17" s="26" t="s">
        <v>312</v>
      </c>
      <c r="I17" s="26" t="s">
        <v>80</v>
      </c>
      <c r="J17" s="26" t="s">
        <v>70</v>
      </c>
      <c r="K17" s="26" t="s">
        <v>70</v>
      </c>
      <c r="L17" s="26" t="s">
        <v>87</v>
      </c>
      <c r="M17" s="26" t="s">
        <v>80</v>
      </c>
      <c r="N17" s="26" t="s">
        <v>80</v>
      </c>
      <c r="O17" s="26" t="s">
        <v>312</v>
      </c>
      <c r="P17" s="41" t="s">
        <v>279</v>
      </c>
      <c r="Q17" s="26" t="s">
        <v>70</v>
      </c>
      <c r="R17" s="26" t="s">
        <v>70</v>
      </c>
      <c r="S17" s="26" t="s">
        <v>80</v>
      </c>
      <c r="T17" s="26" t="s">
        <v>312</v>
      </c>
      <c r="U17" s="26" t="s">
        <v>541</v>
      </c>
      <c r="V17" s="26" t="s">
        <v>312</v>
      </c>
      <c r="W17" s="41" t="s">
        <v>279</v>
      </c>
      <c r="X17" s="26" t="s">
        <v>70</v>
      </c>
      <c r="Y17" s="26" t="s">
        <v>70</v>
      </c>
      <c r="Z17" s="26" t="s">
        <v>312</v>
      </c>
      <c r="AA17" s="26" t="s">
        <v>150</v>
      </c>
      <c r="AB17" s="26" t="s">
        <v>312</v>
      </c>
      <c r="AC17" s="26" t="s">
        <v>103</v>
      </c>
      <c r="AD17" s="26" t="s">
        <v>83</v>
      </c>
      <c r="AE17" s="26" t="s">
        <v>70</v>
      </c>
      <c r="AF17" s="26" t="s">
        <v>70</v>
      </c>
      <c r="AG17" s="26" t="s">
        <v>191</v>
      </c>
      <c r="AH17" s="26" t="s">
        <v>166</v>
      </c>
      <c r="AI17" s="194"/>
      <c r="AJ17" s="106"/>
      <c r="AK17" s="194"/>
      <c r="AL17" s="200"/>
      <c r="AM17" s="183"/>
      <c r="AN17" s="181"/>
    </row>
    <row r="18" spans="1:40" ht="21.75" customHeight="1" x14ac:dyDescent="0.4">
      <c r="A18" s="30"/>
      <c r="B18" s="186" t="s">
        <v>56</v>
      </c>
      <c r="C18" s="120" t="s">
        <v>552</v>
      </c>
      <c r="D18" s="25" t="s">
        <v>51</v>
      </c>
      <c r="E18" s="26" t="s">
        <v>156</v>
      </c>
      <c r="F18" s="26" t="s">
        <v>156</v>
      </c>
      <c r="G18" s="26" t="s">
        <v>156</v>
      </c>
      <c r="H18" s="29" t="s">
        <v>562</v>
      </c>
      <c r="I18" s="26" t="s">
        <v>160</v>
      </c>
      <c r="J18" s="26" t="s">
        <v>70</v>
      </c>
      <c r="K18" s="26" t="s">
        <v>70</v>
      </c>
      <c r="L18" s="26" t="s">
        <v>149</v>
      </c>
      <c r="M18" s="219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1"/>
      <c r="AI18" s="194"/>
      <c r="AJ18" s="106" t="s">
        <v>282</v>
      </c>
      <c r="AK18" s="194"/>
      <c r="AL18" s="200"/>
      <c r="AM18" s="111">
        <f>(E18+F18+G18+H18+I18+L18)/6</f>
        <v>0.37430555555555561</v>
      </c>
      <c r="AN18" s="181">
        <f>(E19+F19+G19+H19+I19+L19)/6</f>
        <v>0.78101851851851845</v>
      </c>
    </row>
    <row r="19" spans="1:40" ht="21.75" customHeight="1" thickBot="1" x14ac:dyDescent="0.45">
      <c r="A19" s="30"/>
      <c r="B19" s="187"/>
      <c r="C19" s="121"/>
      <c r="D19" s="31" t="s">
        <v>52</v>
      </c>
      <c r="E19" s="32" t="s">
        <v>141</v>
      </c>
      <c r="F19" s="32" t="s">
        <v>91</v>
      </c>
      <c r="G19" s="32" t="s">
        <v>173</v>
      </c>
      <c r="H19" s="32" t="s">
        <v>158</v>
      </c>
      <c r="I19" s="32" t="s">
        <v>158</v>
      </c>
      <c r="J19" s="32" t="s">
        <v>70</v>
      </c>
      <c r="K19" s="32" t="s">
        <v>70</v>
      </c>
      <c r="L19" s="32" t="s">
        <v>312</v>
      </c>
      <c r="M19" s="250"/>
      <c r="N19" s="251"/>
      <c r="O19" s="251"/>
      <c r="P19" s="251"/>
      <c r="Q19" s="251"/>
      <c r="R19" s="251"/>
      <c r="S19" s="251"/>
      <c r="T19" s="251"/>
      <c r="U19" s="251"/>
      <c r="V19" s="251"/>
      <c r="W19" s="251"/>
      <c r="X19" s="251"/>
      <c r="Y19" s="251"/>
      <c r="Z19" s="251"/>
      <c r="AA19" s="251"/>
      <c r="AB19" s="251"/>
      <c r="AC19" s="251"/>
      <c r="AD19" s="251"/>
      <c r="AE19" s="251"/>
      <c r="AF19" s="251"/>
      <c r="AG19" s="251"/>
      <c r="AH19" s="252"/>
      <c r="AI19" s="196"/>
      <c r="AJ19" s="167"/>
      <c r="AK19" s="196"/>
      <c r="AL19" s="201"/>
      <c r="AM19" s="188"/>
      <c r="AN19" s="189"/>
    </row>
    <row r="20" spans="1:40" ht="21.75" customHeight="1" x14ac:dyDescent="0.4">
      <c r="A20" s="115" t="s">
        <v>58</v>
      </c>
      <c r="B20" s="259" t="s">
        <v>59</v>
      </c>
      <c r="C20" s="260" t="s">
        <v>60</v>
      </c>
      <c r="D20" s="87" t="s">
        <v>51</v>
      </c>
      <c r="E20" s="88" t="s">
        <v>368</v>
      </c>
      <c r="F20" s="88" t="s">
        <v>557</v>
      </c>
      <c r="G20" s="88" t="s">
        <v>477</v>
      </c>
      <c r="H20" s="88" t="s">
        <v>304</v>
      </c>
      <c r="I20" s="88" t="s">
        <v>470</v>
      </c>
      <c r="J20" s="88" t="s">
        <v>70</v>
      </c>
      <c r="K20" s="88" t="s">
        <v>70</v>
      </c>
      <c r="L20" s="88" t="s">
        <v>381</v>
      </c>
      <c r="M20" s="88" t="s">
        <v>231</v>
      </c>
      <c r="N20" s="88" t="s">
        <v>371</v>
      </c>
      <c r="O20" s="88" t="s">
        <v>108</v>
      </c>
      <c r="P20" s="88" t="s">
        <v>108</v>
      </c>
      <c r="Q20" s="88" t="s">
        <v>70</v>
      </c>
      <c r="R20" s="88" t="s">
        <v>70</v>
      </c>
      <c r="S20" s="88" t="s">
        <v>380</v>
      </c>
      <c r="T20" s="88" t="s">
        <v>372</v>
      </c>
      <c r="U20" s="88" t="s">
        <v>558</v>
      </c>
      <c r="V20" s="88" t="s">
        <v>304</v>
      </c>
      <c r="W20" s="88" t="s">
        <v>446</v>
      </c>
      <c r="X20" s="88" t="s">
        <v>70</v>
      </c>
      <c r="Y20" s="88" t="s">
        <v>70</v>
      </c>
      <c r="Z20" s="88" t="s">
        <v>213</v>
      </c>
      <c r="AA20" s="88" t="s">
        <v>446</v>
      </c>
      <c r="AB20" s="88" t="s">
        <v>138</v>
      </c>
      <c r="AC20" s="88" t="s">
        <v>432</v>
      </c>
      <c r="AD20" s="88" t="s">
        <v>221</v>
      </c>
      <c r="AE20" s="88" t="s">
        <v>70</v>
      </c>
      <c r="AF20" s="88" t="s">
        <v>70</v>
      </c>
      <c r="AG20" s="88" t="s">
        <v>119</v>
      </c>
      <c r="AH20" s="88" t="s">
        <v>162</v>
      </c>
      <c r="AI20" s="261" t="s">
        <v>565</v>
      </c>
      <c r="AJ20" s="262"/>
      <c r="AK20" s="255" t="s">
        <v>282</v>
      </c>
      <c r="AL20" s="256"/>
      <c r="AM20" s="257">
        <f>(E20+F20+G20+H20+I20+L20+M20+N20+O20+P20+S20+T20+U20+V20+W20+Z20+AA20+AB20+AC20+AD20+AG20+AH20)/22</f>
        <v>0.32099116161616154</v>
      </c>
      <c r="AN20" s="263">
        <f>(E21+F21+G21+H21+I21+L21+M21+N21+O21+P21+S21+T21+V21+W21+Z21+AA21+AB21+AC21+AD21+AG21+AH21)/21</f>
        <v>0.79487433862433865</v>
      </c>
    </row>
    <row r="21" spans="1:40" ht="21.75" customHeight="1" x14ac:dyDescent="0.4">
      <c r="A21" s="116"/>
      <c r="B21" s="186"/>
      <c r="C21" s="120"/>
      <c r="D21" s="25" t="s">
        <v>52</v>
      </c>
      <c r="E21" s="26" t="s">
        <v>195</v>
      </c>
      <c r="F21" s="26" t="s">
        <v>312</v>
      </c>
      <c r="G21" s="26" t="s">
        <v>195</v>
      </c>
      <c r="H21" s="26" t="s">
        <v>192</v>
      </c>
      <c r="I21" s="26" t="s">
        <v>126</v>
      </c>
      <c r="J21" s="26" t="s">
        <v>70</v>
      </c>
      <c r="K21" s="26" t="s">
        <v>70</v>
      </c>
      <c r="L21" s="26" t="s">
        <v>112</v>
      </c>
      <c r="M21" s="26" t="s">
        <v>192</v>
      </c>
      <c r="N21" s="26" t="s">
        <v>312</v>
      </c>
      <c r="O21" s="26" t="s">
        <v>90</v>
      </c>
      <c r="P21" s="26" t="s">
        <v>82</v>
      </c>
      <c r="Q21" s="26" t="s">
        <v>70</v>
      </c>
      <c r="R21" s="26" t="s">
        <v>70</v>
      </c>
      <c r="S21" s="26" t="s">
        <v>126</v>
      </c>
      <c r="T21" s="26" t="s">
        <v>305</v>
      </c>
      <c r="U21" s="26" t="s">
        <v>326</v>
      </c>
      <c r="V21" s="26" t="s">
        <v>343</v>
      </c>
      <c r="W21" s="26" t="s">
        <v>150</v>
      </c>
      <c r="X21" s="26" t="s">
        <v>70</v>
      </c>
      <c r="Y21" s="26" t="s">
        <v>70</v>
      </c>
      <c r="Z21" s="26" t="s">
        <v>308</v>
      </c>
      <c r="AA21" s="26" t="s">
        <v>90</v>
      </c>
      <c r="AB21" s="26" t="s">
        <v>188</v>
      </c>
      <c r="AC21" s="26" t="s">
        <v>90</v>
      </c>
      <c r="AD21" s="26" t="s">
        <v>141</v>
      </c>
      <c r="AE21" s="26" t="s">
        <v>70</v>
      </c>
      <c r="AF21" s="26" t="s">
        <v>70</v>
      </c>
      <c r="AG21" s="26" t="s">
        <v>312</v>
      </c>
      <c r="AH21" s="26" t="s">
        <v>314</v>
      </c>
      <c r="AI21" s="127"/>
      <c r="AJ21" s="106"/>
      <c r="AK21" s="194"/>
      <c r="AL21" s="200"/>
      <c r="AM21" s="183"/>
      <c r="AN21" s="105"/>
    </row>
    <row r="22" spans="1:40" ht="21.75" customHeight="1" x14ac:dyDescent="0.4">
      <c r="A22" s="116"/>
      <c r="B22" s="186" t="s">
        <v>53</v>
      </c>
      <c r="C22" s="120" t="s">
        <v>61</v>
      </c>
      <c r="D22" s="25" t="s">
        <v>51</v>
      </c>
      <c r="E22" s="26" t="s">
        <v>74</v>
      </c>
      <c r="F22" s="34" t="s">
        <v>73</v>
      </c>
      <c r="G22" s="26" t="s">
        <v>69</v>
      </c>
      <c r="H22" s="29" t="s">
        <v>559</v>
      </c>
      <c r="I22" s="26" t="s">
        <v>134</v>
      </c>
      <c r="J22" s="26" t="s">
        <v>70</v>
      </c>
      <c r="K22" s="26" t="s">
        <v>70</v>
      </c>
      <c r="L22" s="26" t="s">
        <v>119</v>
      </c>
      <c r="M22" s="26" t="s">
        <v>69</v>
      </c>
      <c r="N22" s="34" t="s">
        <v>93</v>
      </c>
      <c r="O22" s="26" t="s">
        <v>73</v>
      </c>
      <c r="P22" s="26" t="s">
        <v>134</v>
      </c>
      <c r="Q22" s="26" t="s">
        <v>70</v>
      </c>
      <c r="R22" s="26" t="s">
        <v>70</v>
      </c>
      <c r="S22" s="26" t="s">
        <v>135</v>
      </c>
      <c r="T22" s="26" t="s">
        <v>134</v>
      </c>
      <c r="U22" s="26" t="s">
        <v>134</v>
      </c>
      <c r="V22" s="26" t="s">
        <v>93</v>
      </c>
      <c r="W22" s="26" t="s">
        <v>73</v>
      </c>
      <c r="X22" s="26" t="s">
        <v>70</v>
      </c>
      <c r="Y22" s="26" t="s">
        <v>70</v>
      </c>
      <c r="Z22" s="26" t="s">
        <v>121</v>
      </c>
      <c r="AA22" s="26" t="s">
        <v>135</v>
      </c>
      <c r="AB22" s="26" t="s">
        <v>99</v>
      </c>
      <c r="AC22" s="26" t="s">
        <v>119</v>
      </c>
      <c r="AD22" s="26" t="s">
        <v>160</v>
      </c>
      <c r="AE22" s="26" t="s">
        <v>70</v>
      </c>
      <c r="AF22" s="26" t="s">
        <v>70</v>
      </c>
      <c r="AG22" s="34" t="s">
        <v>152</v>
      </c>
      <c r="AH22" s="26" t="s">
        <v>93</v>
      </c>
      <c r="AI22" s="127"/>
      <c r="AJ22" s="106" t="s">
        <v>282</v>
      </c>
      <c r="AK22" s="194"/>
      <c r="AL22" s="195"/>
      <c r="AM22" s="170">
        <f>(E22+F22+G22+H22+I22+L22+M22+N22+O22+P22+S22+T22+U22+V22+W22+Z22+AA22+AB22+AC22+AD22+AG22+AH22)/22</f>
        <v>0.36464646464646466</v>
      </c>
      <c r="AN22" s="128">
        <f>(E23+F23+G23+H23+I23+L23+M23+N23+O23+P23+S23+T23+V23+W23+Z23+AA23+AB23+AC23+AD23+AG23+AH23)/21</f>
        <v>0.77499999999999991</v>
      </c>
    </row>
    <row r="23" spans="1:40" ht="21.75" customHeight="1" x14ac:dyDescent="0.4">
      <c r="A23" s="116"/>
      <c r="B23" s="186"/>
      <c r="C23" s="120"/>
      <c r="D23" s="25" t="s">
        <v>52</v>
      </c>
      <c r="E23" s="26" t="s">
        <v>80</v>
      </c>
      <c r="F23" s="26" t="s">
        <v>88</v>
      </c>
      <c r="G23" s="26" t="s">
        <v>88</v>
      </c>
      <c r="H23" s="26" t="s">
        <v>88</v>
      </c>
      <c r="I23" s="26" t="s">
        <v>82</v>
      </c>
      <c r="J23" s="26" t="s">
        <v>70</v>
      </c>
      <c r="K23" s="26" t="s">
        <v>70</v>
      </c>
      <c r="L23" s="26" t="s">
        <v>141</v>
      </c>
      <c r="M23" s="26" t="s">
        <v>88</v>
      </c>
      <c r="N23" s="26" t="s">
        <v>88</v>
      </c>
      <c r="O23" s="26" t="s">
        <v>312</v>
      </c>
      <c r="P23" s="26" t="s">
        <v>83</v>
      </c>
      <c r="Q23" s="26" t="s">
        <v>70</v>
      </c>
      <c r="R23" s="26" t="s">
        <v>70</v>
      </c>
      <c r="S23" s="26" t="s">
        <v>101</v>
      </c>
      <c r="T23" s="26" t="s">
        <v>312</v>
      </c>
      <c r="U23" s="26" t="s">
        <v>517</v>
      </c>
      <c r="V23" s="26" t="s">
        <v>103</v>
      </c>
      <c r="W23" s="26" t="s">
        <v>89</v>
      </c>
      <c r="X23" s="26" t="s">
        <v>70</v>
      </c>
      <c r="Y23" s="26" t="s">
        <v>70</v>
      </c>
      <c r="Z23" s="26" t="s">
        <v>101</v>
      </c>
      <c r="AA23" s="26" t="s">
        <v>102</v>
      </c>
      <c r="AB23" s="26" t="s">
        <v>88</v>
      </c>
      <c r="AC23" s="26" t="s">
        <v>91</v>
      </c>
      <c r="AD23" s="26" t="s">
        <v>88</v>
      </c>
      <c r="AE23" s="26" t="s">
        <v>70</v>
      </c>
      <c r="AF23" s="26" t="s">
        <v>70</v>
      </c>
      <c r="AG23" s="26" t="s">
        <v>158</v>
      </c>
      <c r="AH23" s="26" t="s">
        <v>88</v>
      </c>
      <c r="AI23" s="127"/>
      <c r="AJ23" s="106"/>
      <c r="AK23" s="194"/>
      <c r="AL23" s="195"/>
      <c r="AM23" s="183"/>
      <c r="AN23" s="105"/>
    </row>
    <row r="24" spans="1:40" ht="21.75" customHeight="1" x14ac:dyDescent="0.4">
      <c r="A24" s="116"/>
      <c r="B24" s="186" t="s">
        <v>53</v>
      </c>
      <c r="C24" s="120" t="s">
        <v>519</v>
      </c>
      <c r="D24" s="25" t="s">
        <v>51</v>
      </c>
      <c r="E24" s="26" t="s">
        <v>72</v>
      </c>
      <c r="F24" s="26" t="s">
        <v>120</v>
      </c>
      <c r="G24" s="26" t="s">
        <v>121</v>
      </c>
      <c r="H24" s="26" t="s">
        <v>69</v>
      </c>
      <c r="I24" s="26" t="s">
        <v>68</v>
      </c>
      <c r="J24" s="26" t="s">
        <v>70</v>
      </c>
      <c r="K24" s="26" t="s">
        <v>70</v>
      </c>
      <c r="L24" s="26" t="s">
        <v>121</v>
      </c>
      <c r="M24" s="26" t="s">
        <v>75</v>
      </c>
      <c r="N24" s="26" t="s">
        <v>121</v>
      </c>
      <c r="O24" s="26" t="s">
        <v>120</v>
      </c>
      <c r="P24" s="26" t="s">
        <v>215</v>
      </c>
      <c r="Q24" s="26" t="s">
        <v>70</v>
      </c>
      <c r="R24" s="26" t="s">
        <v>70</v>
      </c>
      <c r="S24" s="26" t="s">
        <v>76</v>
      </c>
      <c r="T24" s="26" t="s">
        <v>69</v>
      </c>
      <c r="U24" s="26" t="s">
        <v>121</v>
      </c>
      <c r="V24" s="26" t="s">
        <v>78</v>
      </c>
      <c r="W24" s="26" t="s">
        <v>73</v>
      </c>
      <c r="X24" s="26" t="s">
        <v>70</v>
      </c>
      <c r="Y24" s="26" t="s">
        <v>70</v>
      </c>
      <c r="Z24" s="26" t="s">
        <v>72</v>
      </c>
      <c r="AA24" s="26" t="s">
        <v>71</v>
      </c>
      <c r="AB24" s="26" t="s">
        <v>74</v>
      </c>
      <c r="AC24" s="26" t="s">
        <v>72</v>
      </c>
      <c r="AD24" s="26" t="s">
        <v>99</v>
      </c>
      <c r="AE24" s="26" t="s">
        <v>70</v>
      </c>
      <c r="AF24" s="26" t="s">
        <v>70</v>
      </c>
      <c r="AG24" s="126" t="s">
        <v>176</v>
      </c>
      <c r="AH24" s="26" t="s">
        <v>78</v>
      </c>
      <c r="AI24" s="112"/>
      <c r="AJ24" s="106"/>
      <c r="AK24" s="194"/>
      <c r="AL24" s="195">
        <v>1</v>
      </c>
      <c r="AM24" s="170">
        <f>(E24+F24+G24+H24+I24+L24+M24+N24+O24+P24+S24+T24+U24+V24+W24+Z24+AA24+AB24+AC24+AD24+AH24)/21</f>
        <v>0.36425264550264558</v>
      </c>
      <c r="AN24" s="128">
        <f>(E25+F25+G25+H25+I25+L25+M25+N25+O25+P25+S25+T25+V25+W25+Z25+AA25+AB25+AC25+AD25+AH25)/20</f>
        <v>0.7884374999999999</v>
      </c>
    </row>
    <row r="25" spans="1:40" ht="21.75" customHeight="1" x14ac:dyDescent="0.4">
      <c r="A25" s="116"/>
      <c r="B25" s="186"/>
      <c r="C25" s="120"/>
      <c r="D25" s="25" t="s">
        <v>52</v>
      </c>
      <c r="E25" s="26" t="s">
        <v>312</v>
      </c>
      <c r="F25" s="26" t="s">
        <v>90</v>
      </c>
      <c r="G25" s="26" t="s">
        <v>327</v>
      </c>
      <c r="H25" s="26" t="s">
        <v>192</v>
      </c>
      <c r="I25" s="26" t="s">
        <v>185</v>
      </c>
      <c r="J25" s="26" t="s">
        <v>70</v>
      </c>
      <c r="K25" s="26" t="s">
        <v>70</v>
      </c>
      <c r="L25" s="26" t="s">
        <v>312</v>
      </c>
      <c r="M25" s="26" t="s">
        <v>191</v>
      </c>
      <c r="N25" s="26" t="s">
        <v>327</v>
      </c>
      <c r="O25" s="26" t="s">
        <v>89</v>
      </c>
      <c r="P25" s="26" t="s">
        <v>158</v>
      </c>
      <c r="Q25" s="26" t="s">
        <v>70</v>
      </c>
      <c r="R25" s="26" t="s">
        <v>70</v>
      </c>
      <c r="S25" s="26" t="s">
        <v>401</v>
      </c>
      <c r="T25" s="26" t="s">
        <v>326</v>
      </c>
      <c r="U25" s="26" t="s">
        <v>436</v>
      </c>
      <c r="V25" s="26" t="s">
        <v>170</v>
      </c>
      <c r="W25" s="26" t="s">
        <v>90</v>
      </c>
      <c r="X25" s="26" t="s">
        <v>70</v>
      </c>
      <c r="Y25" s="26" t="s">
        <v>70</v>
      </c>
      <c r="Z25" s="26" t="s">
        <v>147</v>
      </c>
      <c r="AA25" s="26" t="s">
        <v>89</v>
      </c>
      <c r="AB25" s="26" t="s">
        <v>84</v>
      </c>
      <c r="AC25" s="26" t="s">
        <v>349</v>
      </c>
      <c r="AD25" s="26" t="s">
        <v>80</v>
      </c>
      <c r="AE25" s="26" t="s">
        <v>70</v>
      </c>
      <c r="AF25" s="26" t="s">
        <v>70</v>
      </c>
      <c r="AG25" s="126"/>
      <c r="AH25" s="26" t="s">
        <v>158</v>
      </c>
      <c r="AI25" s="112"/>
      <c r="AJ25" s="106"/>
      <c r="AK25" s="194"/>
      <c r="AL25" s="195"/>
      <c r="AM25" s="183"/>
      <c r="AN25" s="105"/>
    </row>
    <row r="26" spans="1:40" ht="21.75" customHeight="1" x14ac:dyDescent="0.4">
      <c r="A26" s="116"/>
      <c r="B26" s="186" t="s">
        <v>56</v>
      </c>
      <c r="C26" s="120" t="s">
        <v>242</v>
      </c>
      <c r="D26" s="25" t="s">
        <v>51</v>
      </c>
      <c r="E26" s="26" t="s">
        <v>79</v>
      </c>
      <c r="F26" s="29" t="s">
        <v>387</v>
      </c>
      <c r="G26" s="26" t="s">
        <v>68</v>
      </c>
      <c r="H26" s="26" t="s">
        <v>72</v>
      </c>
      <c r="I26" s="26" t="s">
        <v>79</v>
      </c>
      <c r="J26" s="26" t="s">
        <v>70</v>
      </c>
      <c r="K26" s="26" t="s">
        <v>70</v>
      </c>
      <c r="L26" s="26" t="s">
        <v>156</v>
      </c>
      <c r="M26" s="26" t="s">
        <v>161</v>
      </c>
      <c r="N26" s="26" t="s">
        <v>160</v>
      </c>
      <c r="O26" s="26" t="s">
        <v>135</v>
      </c>
      <c r="P26" s="26" t="s">
        <v>135</v>
      </c>
      <c r="Q26" s="26" t="s">
        <v>70</v>
      </c>
      <c r="R26" s="26" t="s">
        <v>70</v>
      </c>
      <c r="S26" s="26" t="s">
        <v>152</v>
      </c>
      <c r="T26" s="26" t="s">
        <v>152</v>
      </c>
      <c r="U26" s="26" t="s">
        <v>149</v>
      </c>
      <c r="V26" s="26" t="s">
        <v>121</v>
      </c>
      <c r="W26" s="26" t="s">
        <v>121</v>
      </c>
      <c r="X26" s="26" t="s">
        <v>70</v>
      </c>
      <c r="Y26" s="26" t="s">
        <v>70</v>
      </c>
      <c r="Z26" s="26" t="s">
        <v>135</v>
      </c>
      <c r="AA26" s="26" t="s">
        <v>68</v>
      </c>
      <c r="AB26" s="26" t="s">
        <v>156</v>
      </c>
      <c r="AC26" s="26" t="s">
        <v>79</v>
      </c>
      <c r="AD26" s="26" t="s">
        <v>162</v>
      </c>
      <c r="AE26" s="26" t="s">
        <v>70</v>
      </c>
      <c r="AF26" s="26" t="s">
        <v>70</v>
      </c>
      <c r="AG26" s="26" t="s">
        <v>68</v>
      </c>
      <c r="AH26" s="26" t="s">
        <v>68</v>
      </c>
      <c r="AI26" s="112"/>
      <c r="AJ26" s="106" t="s">
        <v>282</v>
      </c>
      <c r="AK26" s="194"/>
      <c r="AL26" s="195">
        <v>1</v>
      </c>
      <c r="AM26" s="170">
        <f>(E26+F26+G26+H26+I26+L26+M26+N26+O26+P26+S26+T26+U26+V26+W26+Z26+AA26+AB26+AC26+AD26+AG26+AH26)/22</f>
        <v>0.37013888888888891</v>
      </c>
      <c r="AN26" s="128">
        <f>(F27+G27+H27+I27+L27+M27+N27+O27+S27+T27+V27+W27+Z27+AA27+AB27+AC27+AD27+AG27+AH27)/19</f>
        <v>0.78062865497076028</v>
      </c>
    </row>
    <row r="27" spans="1:40" ht="21.75" customHeight="1" x14ac:dyDescent="0.4">
      <c r="A27" s="117"/>
      <c r="B27" s="216"/>
      <c r="C27" s="217"/>
      <c r="D27" s="74" t="s">
        <v>52</v>
      </c>
      <c r="E27" s="89" t="s">
        <v>279</v>
      </c>
      <c r="F27" s="90" t="s">
        <v>80</v>
      </c>
      <c r="G27" s="90" t="s">
        <v>101</v>
      </c>
      <c r="H27" s="90" t="s">
        <v>116</v>
      </c>
      <c r="I27" s="90" t="s">
        <v>114</v>
      </c>
      <c r="J27" s="90" t="s">
        <v>70</v>
      </c>
      <c r="K27" s="90" t="s">
        <v>70</v>
      </c>
      <c r="L27" s="90" t="s">
        <v>169</v>
      </c>
      <c r="M27" s="90" t="s">
        <v>101</v>
      </c>
      <c r="N27" s="90" t="s">
        <v>85</v>
      </c>
      <c r="O27" s="90" t="s">
        <v>80</v>
      </c>
      <c r="P27" s="89" t="s">
        <v>279</v>
      </c>
      <c r="Q27" s="90" t="s">
        <v>70</v>
      </c>
      <c r="R27" s="90" t="s">
        <v>70</v>
      </c>
      <c r="S27" s="90" t="s">
        <v>91</v>
      </c>
      <c r="T27" s="90" t="s">
        <v>88</v>
      </c>
      <c r="U27" s="90" t="s">
        <v>486</v>
      </c>
      <c r="V27" s="90" t="s">
        <v>102</v>
      </c>
      <c r="W27" s="90" t="s">
        <v>90</v>
      </c>
      <c r="X27" s="90" t="s">
        <v>70</v>
      </c>
      <c r="Y27" s="90" t="s">
        <v>70</v>
      </c>
      <c r="Z27" s="90" t="s">
        <v>101</v>
      </c>
      <c r="AA27" s="90" t="s">
        <v>115</v>
      </c>
      <c r="AB27" s="90" t="s">
        <v>101</v>
      </c>
      <c r="AC27" s="90" t="s">
        <v>85</v>
      </c>
      <c r="AD27" s="90" t="s">
        <v>80</v>
      </c>
      <c r="AE27" s="90" t="s">
        <v>70</v>
      </c>
      <c r="AF27" s="90" t="s">
        <v>70</v>
      </c>
      <c r="AG27" s="90" t="s">
        <v>115</v>
      </c>
      <c r="AH27" s="90" t="s">
        <v>85</v>
      </c>
      <c r="AI27" s="264"/>
      <c r="AJ27" s="169"/>
      <c r="AK27" s="107"/>
      <c r="AL27" s="172"/>
      <c r="AM27" s="174"/>
      <c r="AN27" s="104"/>
    </row>
    <row r="28" spans="1:40" ht="21.75" customHeight="1" x14ac:dyDescent="0.4">
      <c r="A28" s="30"/>
      <c r="B28" s="186" t="s">
        <v>56</v>
      </c>
      <c r="C28" s="120" t="s">
        <v>563</v>
      </c>
      <c r="D28" s="25" t="s">
        <v>51</v>
      </c>
      <c r="E28" s="26" t="s">
        <v>93</v>
      </c>
      <c r="F28" s="26" t="s">
        <v>73</v>
      </c>
      <c r="G28" s="26" t="s">
        <v>93</v>
      </c>
      <c r="H28" s="26" t="s">
        <v>78</v>
      </c>
      <c r="I28" s="26" t="s">
        <v>72</v>
      </c>
      <c r="J28" s="26" t="s">
        <v>70</v>
      </c>
      <c r="K28" s="26" t="s">
        <v>70</v>
      </c>
      <c r="L28" s="26" t="s">
        <v>78</v>
      </c>
      <c r="M28" s="26" t="s">
        <v>97</v>
      </c>
      <c r="N28" s="26" t="s">
        <v>99</v>
      </c>
      <c r="O28" s="26" t="s">
        <v>97</v>
      </c>
      <c r="P28" s="26" t="s">
        <v>97</v>
      </c>
      <c r="Q28" s="26" t="s">
        <v>70</v>
      </c>
      <c r="R28" s="26" t="s">
        <v>70</v>
      </c>
      <c r="S28" s="26" t="s">
        <v>143</v>
      </c>
      <c r="T28" s="26" t="s">
        <v>97</v>
      </c>
      <c r="U28" s="26" t="s">
        <v>99</v>
      </c>
      <c r="V28" s="26" t="s">
        <v>97</v>
      </c>
      <c r="W28" s="26" t="s">
        <v>99</v>
      </c>
      <c r="X28" s="26" t="s">
        <v>70</v>
      </c>
      <c r="Y28" s="26" t="s">
        <v>70</v>
      </c>
      <c r="Z28" s="26" t="s">
        <v>100</v>
      </c>
      <c r="AA28" s="26" t="s">
        <v>99</v>
      </c>
      <c r="AB28" s="26" t="s">
        <v>94</v>
      </c>
      <c r="AC28" s="26" t="s">
        <v>73</v>
      </c>
      <c r="AD28" s="26" t="s">
        <v>94</v>
      </c>
      <c r="AE28" s="26" t="s">
        <v>70</v>
      </c>
      <c r="AF28" s="26" t="s">
        <v>70</v>
      </c>
      <c r="AG28" s="26" t="s">
        <v>97</v>
      </c>
      <c r="AH28" s="26" t="s">
        <v>78</v>
      </c>
      <c r="AI28" s="127"/>
      <c r="AJ28" s="106"/>
      <c r="AK28" s="194"/>
      <c r="AL28" s="195"/>
      <c r="AM28" s="170">
        <f>(E28+F28+G28+H28+I28+L28+M28+N28+O28+P28+S28+T28+U28+V28+W28+Z28+AA28+AB28+AC28+AD28+AG28+AH28)/22</f>
        <v>0.35855429292929297</v>
      </c>
      <c r="AN28" s="128">
        <f>(E29+F29+G29+H29+I29+L29+M29+N29+O29+P29+S29+T29+V29+W29+Z29+AA29+AB29+AC29+AD29+AG29+AH29)/21</f>
        <v>0.77341269841269855</v>
      </c>
    </row>
    <row r="29" spans="1:40" ht="21.75" customHeight="1" thickBot="1" x14ac:dyDescent="0.45">
      <c r="A29" s="30"/>
      <c r="B29" s="216"/>
      <c r="C29" s="217"/>
      <c r="D29" s="74" t="s">
        <v>52</v>
      </c>
      <c r="E29" s="90" t="s">
        <v>102</v>
      </c>
      <c r="F29" s="90" t="s">
        <v>80</v>
      </c>
      <c r="G29" s="90" t="s">
        <v>101</v>
      </c>
      <c r="H29" s="90" t="s">
        <v>85</v>
      </c>
      <c r="I29" s="90" t="s">
        <v>101</v>
      </c>
      <c r="J29" s="90" t="s">
        <v>70</v>
      </c>
      <c r="K29" s="90" t="s">
        <v>70</v>
      </c>
      <c r="L29" s="90" t="s">
        <v>102</v>
      </c>
      <c r="M29" s="90" t="s">
        <v>101</v>
      </c>
      <c r="N29" s="90" t="s">
        <v>85</v>
      </c>
      <c r="O29" s="90" t="s">
        <v>80</v>
      </c>
      <c r="P29" s="90" t="s">
        <v>85</v>
      </c>
      <c r="Q29" s="90" t="s">
        <v>70</v>
      </c>
      <c r="R29" s="90" t="s">
        <v>70</v>
      </c>
      <c r="S29" s="90" t="s">
        <v>80</v>
      </c>
      <c r="T29" s="90" t="s">
        <v>88</v>
      </c>
      <c r="U29" s="90" t="s">
        <v>313</v>
      </c>
      <c r="V29" s="90" t="s">
        <v>85</v>
      </c>
      <c r="W29" s="90" t="s">
        <v>85</v>
      </c>
      <c r="X29" s="90" t="s">
        <v>70</v>
      </c>
      <c r="Y29" s="90" t="s">
        <v>70</v>
      </c>
      <c r="Z29" s="90" t="s">
        <v>85</v>
      </c>
      <c r="AA29" s="90" t="s">
        <v>85</v>
      </c>
      <c r="AB29" s="90" t="s">
        <v>80</v>
      </c>
      <c r="AC29" s="90" t="s">
        <v>83</v>
      </c>
      <c r="AD29" s="90" t="s">
        <v>80</v>
      </c>
      <c r="AE29" s="90" t="s">
        <v>70</v>
      </c>
      <c r="AF29" s="90" t="s">
        <v>70</v>
      </c>
      <c r="AG29" s="90" t="s">
        <v>89</v>
      </c>
      <c r="AH29" s="90" t="s">
        <v>103</v>
      </c>
      <c r="AI29" s="218"/>
      <c r="AJ29" s="169"/>
      <c r="AK29" s="107"/>
      <c r="AL29" s="172"/>
      <c r="AM29" s="174"/>
      <c r="AN29" s="104"/>
    </row>
    <row r="30" spans="1:40" ht="21.75" customHeight="1" x14ac:dyDescent="0.4">
      <c r="A30" s="123" t="s">
        <v>64</v>
      </c>
      <c r="B30" s="259" t="s">
        <v>59</v>
      </c>
      <c r="C30" s="260" t="s">
        <v>65</v>
      </c>
      <c r="D30" s="87" t="s">
        <v>51</v>
      </c>
      <c r="E30" s="253" t="s">
        <v>520</v>
      </c>
      <c r="F30" s="253"/>
      <c r="G30" s="253"/>
      <c r="H30" s="88" t="s">
        <v>94</v>
      </c>
      <c r="I30" s="88" t="s">
        <v>74</v>
      </c>
      <c r="J30" s="88" t="s">
        <v>70</v>
      </c>
      <c r="K30" s="88" t="s">
        <v>70</v>
      </c>
      <c r="L30" s="88" t="s">
        <v>94</v>
      </c>
      <c r="M30" s="88" t="s">
        <v>69</v>
      </c>
      <c r="N30" s="88" t="s">
        <v>97</v>
      </c>
      <c r="O30" s="88" t="s">
        <v>555</v>
      </c>
      <c r="P30" s="88" t="s">
        <v>100</v>
      </c>
      <c r="Q30" s="88" t="s">
        <v>70</v>
      </c>
      <c r="R30" s="88" t="s">
        <v>70</v>
      </c>
      <c r="S30" s="88" t="s">
        <v>119</v>
      </c>
      <c r="T30" s="88" t="s">
        <v>78</v>
      </c>
      <c r="U30" s="88" t="s">
        <v>100</v>
      </c>
      <c r="V30" s="88" t="s">
        <v>179</v>
      </c>
      <c r="W30" s="88" t="s">
        <v>94</v>
      </c>
      <c r="X30" s="88" t="s">
        <v>70</v>
      </c>
      <c r="Y30" s="88" t="s">
        <v>70</v>
      </c>
      <c r="Z30" s="88" t="s">
        <v>94</v>
      </c>
      <c r="AA30" s="88" t="s">
        <v>94</v>
      </c>
      <c r="AB30" s="88" t="s">
        <v>72</v>
      </c>
      <c r="AC30" s="88" t="s">
        <v>97</v>
      </c>
      <c r="AD30" s="88" t="s">
        <v>94</v>
      </c>
      <c r="AE30" s="88" t="s">
        <v>70</v>
      </c>
      <c r="AF30" s="88" t="s">
        <v>70</v>
      </c>
      <c r="AG30" s="88" t="s">
        <v>76</v>
      </c>
      <c r="AH30" s="88" t="s">
        <v>78</v>
      </c>
      <c r="AI30" s="261"/>
      <c r="AJ30" s="262"/>
      <c r="AK30" s="255"/>
      <c r="AL30" s="258">
        <v>3</v>
      </c>
      <c r="AM30" s="254">
        <f>(H30+I30+L30+M30+N30+O30+P30+S30+T30+U30+V30+W30+Z30+AA30+AB30+AC30+AD30+AG30+AH30)/19</f>
        <v>0.36304824561403509</v>
      </c>
      <c r="AN30" s="203">
        <f>(H31+I31+L31+M31+N31+O31+P31+S31+T31+V31+W31+Z31+AA31+AB31+AC31+AD31+AG31+AH31)/18</f>
        <v>0.81547067901234571</v>
      </c>
    </row>
    <row r="31" spans="1:40" ht="21.75" customHeight="1" x14ac:dyDescent="0.4">
      <c r="A31" s="124"/>
      <c r="B31" s="186"/>
      <c r="C31" s="120"/>
      <c r="D31" s="25" t="s">
        <v>52</v>
      </c>
      <c r="E31" s="126"/>
      <c r="F31" s="126"/>
      <c r="G31" s="126"/>
      <c r="H31" s="26" t="s">
        <v>295</v>
      </c>
      <c r="I31" s="26" t="s">
        <v>185</v>
      </c>
      <c r="J31" s="26" t="s">
        <v>70</v>
      </c>
      <c r="K31" s="26" t="s">
        <v>70</v>
      </c>
      <c r="L31" s="26" t="s">
        <v>208</v>
      </c>
      <c r="M31" s="26" t="s">
        <v>159</v>
      </c>
      <c r="N31" s="26" t="s">
        <v>185</v>
      </c>
      <c r="O31" s="26" t="s">
        <v>82</v>
      </c>
      <c r="P31" s="26" t="s">
        <v>157</v>
      </c>
      <c r="Q31" s="26" t="s">
        <v>70</v>
      </c>
      <c r="R31" s="26" t="s">
        <v>70</v>
      </c>
      <c r="S31" s="26" t="s">
        <v>115</v>
      </c>
      <c r="T31" s="26" t="s">
        <v>105</v>
      </c>
      <c r="U31" s="26" t="s">
        <v>153</v>
      </c>
      <c r="V31" s="26" t="s">
        <v>295</v>
      </c>
      <c r="W31" s="26" t="s">
        <v>307</v>
      </c>
      <c r="X31" s="26" t="s">
        <v>70</v>
      </c>
      <c r="Y31" s="26" t="s">
        <v>70</v>
      </c>
      <c r="Z31" s="26" t="s">
        <v>148</v>
      </c>
      <c r="AA31" s="26" t="s">
        <v>185</v>
      </c>
      <c r="AB31" s="26" t="s">
        <v>132</v>
      </c>
      <c r="AC31" s="26" t="s">
        <v>366</v>
      </c>
      <c r="AD31" s="26" t="s">
        <v>556</v>
      </c>
      <c r="AE31" s="26" t="s">
        <v>70</v>
      </c>
      <c r="AF31" s="26" t="s">
        <v>70</v>
      </c>
      <c r="AG31" s="26" t="s">
        <v>167</v>
      </c>
      <c r="AH31" s="26" t="s">
        <v>191</v>
      </c>
      <c r="AI31" s="127"/>
      <c r="AJ31" s="106"/>
      <c r="AK31" s="194"/>
      <c r="AL31" s="195"/>
      <c r="AM31" s="111"/>
      <c r="AN31" s="181"/>
    </row>
    <row r="32" spans="1:40" ht="21.75" customHeight="1" x14ac:dyDescent="0.4">
      <c r="A32" s="124"/>
      <c r="B32" s="186" t="s">
        <v>67</v>
      </c>
      <c r="C32" s="120" t="s">
        <v>66</v>
      </c>
      <c r="D32" s="25" t="s">
        <v>51</v>
      </c>
      <c r="E32" s="26" t="s">
        <v>69</v>
      </c>
      <c r="F32" s="26" t="s">
        <v>74</v>
      </c>
      <c r="G32" s="26" t="s">
        <v>71</v>
      </c>
      <c r="H32" s="26" t="s">
        <v>69</v>
      </c>
      <c r="I32" s="26" t="s">
        <v>152</v>
      </c>
      <c r="J32" s="26" t="s">
        <v>70</v>
      </c>
      <c r="K32" s="26" t="s">
        <v>70</v>
      </c>
      <c r="L32" s="26" t="s">
        <v>68</v>
      </c>
      <c r="M32" s="26" t="s">
        <v>79</v>
      </c>
      <c r="N32" s="26" t="s">
        <v>156</v>
      </c>
      <c r="O32" s="26" t="s">
        <v>79</v>
      </c>
      <c r="P32" s="26" t="s">
        <v>69</v>
      </c>
      <c r="Q32" s="26" t="s">
        <v>70</v>
      </c>
      <c r="R32" s="26" t="s">
        <v>70</v>
      </c>
      <c r="S32" s="26" t="s">
        <v>75</v>
      </c>
      <c r="T32" s="26" t="s">
        <v>79</v>
      </c>
      <c r="U32" s="26" t="s">
        <v>120</v>
      </c>
      <c r="V32" s="26" t="s">
        <v>68</v>
      </c>
      <c r="W32" s="26" t="s">
        <v>152</v>
      </c>
      <c r="X32" s="26" t="s">
        <v>70</v>
      </c>
      <c r="Y32" s="26" t="s">
        <v>70</v>
      </c>
      <c r="Z32" s="126" t="s">
        <v>176</v>
      </c>
      <c r="AA32" s="26" t="s">
        <v>74</v>
      </c>
      <c r="AB32" s="26" t="s">
        <v>74</v>
      </c>
      <c r="AC32" s="26" t="s">
        <v>119</v>
      </c>
      <c r="AD32" s="26" t="s">
        <v>68</v>
      </c>
      <c r="AE32" s="26" t="s">
        <v>70</v>
      </c>
      <c r="AF32" s="26" t="s">
        <v>70</v>
      </c>
      <c r="AG32" s="26" t="s">
        <v>152</v>
      </c>
      <c r="AH32" s="26" t="s">
        <v>79</v>
      </c>
      <c r="AI32" s="112"/>
      <c r="AJ32" s="106"/>
      <c r="AK32" s="194" t="s">
        <v>499</v>
      </c>
      <c r="AL32" s="195">
        <v>2</v>
      </c>
      <c r="AM32" s="111">
        <f>(E32+F32+G32+H32+I32+L32+M32+N32+O32+P32+S32+T32+U32+V32+W32+AA32+AB32+AC32+AD32+AG32+AH32)/21</f>
        <v>0.36676587301587299</v>
      </c>
      <c r="AN32" s="181">
        <f>(E33+F33+G33+H33+I33+L33+N33+O33+P33+S33+T33+V33+W33+AA33+AB33+AC33+AD33+AG33+AH33)/19</f>
        <v>0.81867690058479547</v>
      </c>
    </row>
    <row r="33" spans="1:40" ht="21.75" customHeight="1" x14ac:dyDescent="0.4">
      <c r="A33" s="124"/>
      <c r="B33" s="186"/>
      <c r="C33" s="120"/>
      <c r="D33" s="25" t="s">
        <v>52</v>
      </c>
      <c r="E33" s="26" t="s">
        <v>456</v>
      </c>
      <c r="F33" s="26" t="s">
        <v>560</v>
      </c>
      <c r="G33" s="26" t="s">
        <v>170</v>
      </c>
      <c r="H33" s="26" t="s">
        <v>543</v>
      </c>
      <c r="I33" s="26" t="s">
        <v>185</v>
      </c>
      <c r="J33" s="26" t="s">
        <v>70</v>
      </c>
      <c r="K33" s="26" t="s">
        <v>70</v>
      </c>
      <c r="L33" s="26" t="s">
        <v>367</v>
      </c>
      <c r="M33" s="41" t="s">
        <v>279</v>
      </c>
      <c r="N33" s="26" t="s">
        <v>306</v>
      </c>
      <c r="O33" s="26" t="s">
        <v>290</v>
      </c>
      <c r="P33" s="26" t="s">
        <v>87</v>
      </c>
      <c r="Q33" s="26" t="s">
        <v>70</v>
      </c>
      <c r="R33" s="26" t="s">
        <v>70</v>
      </c>
      <c r="S33" s="26" t="s">
        <v>158</v>
      </c>
      <c r="T33" s="26" t="s">
        <v>308</v>
      </c>
      <c r="U33" s="41" t="s">
        <v>279</v>
      </c>
      <c r="V33" s="26" t="s">
        <v>330</v>
      </c>
      <c r="W33" s="26" t="s">
        <v>214</v>
      </c>
      <c r="X33" s="26" t="s">
        <v>70</v>
      </c>
      <c r="Y33" s="26" t="s">
        <v>70</v>
      </c>
      <c r="Z33" s="126"/>
      <c r="AA33" s="26" t="s">
        <v>154</v>
      </c>
      <c r="AB33" s="26" t="s">
        <v>201</v>
      </c>
      <c r="AC33" s="26" t="s">
        <v>456</v>
      </c>
      <c r="AD33" s="26" t="s">
        <v>132</v>
      </c>
      <c r="AE33" s="26" t="s">
        <v>70</v>
      </c>
      <c r="AF33" s="26" t="s">
        <v>70</v>
      </c>
      <c r="AG33" s="26" t="s">
        <v>98</v>
      </c>
      <c r="AH33" s="26" t="s">
        <v>144</v>
      </c>
      <c r="AI33" s="112"/>
      <c r="AJ33" s="106"/>
      <c r="AK33" s="194"/>
      <c r="AL33" s="195"/>
      <c r="AM33" s="111"/>
      <c r="AN33" s="181"/>
    </row>
    <row r="34" spans="1:40" ht="21.75" customHeight="1" x14ac:dyDescent="0.4">
      <c r="A34" s="124"/>
      <c r="B34" s="186" t="s">
        <v>49</v>
      </c>
      <c r="C34" s="120" t="s">
        <v>194</v>
      </c>
      <c r="D34" s="25" t="s">
        <v>51</v>
      </c>
      <c r="E34" s="126" t="s">
        <v>520</v>
      </c>
      <c r="F34" s="126"/>
      <c r="G34" s="41" t="s">
        <v>279</v>
      </c>
      <c r="H34" s="26" t="s">
        <v>121</v>
      </c>
      <c r="I34" s="26" t="s">
        <v>156</v>
      </c>
      <c r="J34" s="26" t="s">
        <v>70</v>
      </c>
      <c r="K34" s="26" t="s">
        <v>70</v>
      </c>
      <c r="L34" s="26" t="s">
        <v>121</v>
      </c>
      <c r="M34" s="26" t="s">
        <v>162</v>
      </c>
      <c r="N34" s="26" t="s">
        <v>160</v>
      </c>
      <c r="O34" s="26" t="s">
        <v>156</v>
      </c>
      <c r="P34" s="26" t="s">
        <v>149</v>
      </c>
      <c r="Q34" s="26" t="s">
        <v>70</v>
      </c>
      <c r="R34" s="26" t="s">
        <v>70</v>
      </c>
      <c r="S34" s="26" t="s">
        <v>120</v>
      </c>
      <c r="T34" s="26" t="s">
        <v>71</v>
      </c>
      <c r="U34" s="26" t="s">
        <v>149</v>
      </c>
      <c r="V34" s="26" t="s">
        <v>149</v>
      </c>
      <c r="W34" s="26" t="s">
        <v>160</v>
      </c>
      <c r="X34" s="26" t="s">
        <v>70</v>
      </c>
      <c r="Y34" s="26" t="s">
        <v>70</v>
      </c>
      <c r="Z34" s="26" t="s">
        <v>149</v>
      </c>
      <c r="AA34" s="29" t="s">
        <v>232</v>
      </c>
      <c r="AB34" s="26" t="s">
        <v>71</v>
      </c>
      <c r="AC34" s="26" t="s">
        <v>149</v>
      </c>
      <c r="AD34" s="26" t="s">
        <v>120</v>
      </c>
      <c r="AE34" s="26" t="s">
        <v>70</v>
      </c>
      <c r="AF34" s="26" t="s">
        <v>70</v>
      </c>
      <c r="AG34" s="26" t="s">
        <v>156</v>
      </c>
      <c r="AH34" s="26" t="s">
        <v>149</v>
      </c>
      <c r="AI34" s="112"/>
      <c r="AJ34" s="106" t="s">
        <v>282</v>
      </c>
      <c r="AK34" s="106"/>
      <c r="AL34" s="195">
        <v>3</v>
      </c>
      <c r="AM34" s="111">
        <f>(H34+I34+L34+M34+N34+O34+P34+S34+T34+U34+V34+W34+Z34+AA34+AB34+AC34+AD34+AG34+AH34)/19</f>
        <v>0.37189327485380114</v>
      </c>
      <c r="AN34" s="181">
        <f>(G35+H35+I35+L35+M35+N35+O35+P35+S35+T35+V35+W35+Z35+AA35+AC35+AD35+AG35+AH35)/18</f>
        <v>0.79749228395061722</v>
      </c>
    </row>
    <row r="35" spans="1:40" ht="21.75" customHeight="1" x14ac:dyDescent="0.4">
      <c r="A35" s="124"/>
      <c r="B35" s="186"/>
      <c r="C35" s="120"/>
      <c r="D35" s="25" t="s">
        <v>52</v>
      </c>
      <c r="E35" s="126"/>
      <c r="F35" s="126"/>
      <c r="G35" s="26" t="s">
        <v>101</v>
      </c>
      <c r="H35" s="26" t="s">
        <v>543</v>
      </c>
      <c r="I35" s="26" t="s">
        <v>127</v>
      </c>
      <c r="J35" s="26" t="s">
        <v>70</v>
      </c>
      <c r="K35" s="26" t="s">
        <v>70</v>
      </c>
      <c r="L35" s="26" t="s">
        <v>115</v>
      </c>
      <c r="M35" s="26" t="s">
        <v>334</v>
      </c>
      <c r="N35" s="26" t="s">
        <v>170</v>
      </c>
      <c r="O35" s="26" t="s">
        <v>87</v>
      </c>
      <c r="P35" s="26" t="s">
        <v>101</v>
      </c>
      <c r="Q35" s="26" t="s">
        <v>70</v>
      </c>
      <c r="R35" s="26" t="s">
        <v>70</v>
      </c>
      <c r="S35" s="26" t="s">
        <v>89</v>
      </c>
      <c r="T35" s="26" t="s">
        <v>309</v>
      </c>
      <c r="U35" s="26" t="s">
        <v>89</v>
      </c>
      <c r="V35" s="26" t="s">
        <v>326</v>
      </c>
      <c r="W35" s="26" t="s">
        <v>165</v>
      </c>
      <c r="X35" s="26" t="s">
        <v>70</v>
      </c>
      <c r="Y35" s="26" t="s">
        <v>70</v>
      </c>
      <c r="Z35" s="26" t="s">
        <v>334</v>
      </c>
      <c r="AA35" s="26" t="s">
        <v>83</v>
      </c>
      <c r="AB35" s="41" t="s">
        <v>279</v>
      </c>
      <c r="AC35" s="26" t="s">
        <v>165</v>
      </c>
      <c r="AD35" s="26" t="s">
        <v>185</v>
      </c>
      <c r="AE35" s="26" t="s">
        <v>70</v>
      </c>
      <c r="AF35" s="26" t="s">
        <v>70</v>
      </c>
      <c r="AG35" s="26" t="s">
        <v>84</v>
      </c>
      <c r="AH35" s="26" t="s">
        <v>295</v>
      </c>
      <c r="AI35" s="112"/>
      <c r="AJ35" s="106"/>
      <c r="AK35" s="106"/>
      <c r="AL35" s="195"/>
      <c r="AM35" s="111"/>
      <c r="AN35" s="181"/>
    </row>
    <row r="36" spans="1:40" ht="21.75" customHeight="1" x14ac:dyDescent="0.4">
      <c r="A36" s="124"/>
      <c r="B36" s="186" t="s">
        <v>56</v>
      </c>
      <c r="C36" s="120" t="s">
        <v>553</v>
      </c>
      <c r="D36" s="25" t="s">
        <v>51</v>
      </c>
      <c r="E36" s="26" t="s">
        <v>76</v>
      </c>
      <c r="F36" s="26" t="s">
        <v>76</v>
      </c>
      <c r="G36" s="26" t="s">
        <v>72</v>
      </c>
      <c r="H36" s="26" t="s">
        <v>121</v>
      </c>
      <c r="I36" s="26" t="s">
        <v>76</v>
      </c>
      <c r="J36" s="26" t="s">
        <v>70</v>
      </c>
      <c r="K36" s="26" t="s">
        <v>70</v>
      </c>
      <c r="L36" s="26" t="s">
        <v>76</v>
      </c>
      <c r="M36" s="26" t="s">
        <v>74</v>
      </c>
      <c r="N36" s="26" t="s">
        <v>72</v>
      </c>
      <c r="O36" s="26" t="s">
        <v>76</v>
      </c>
      <c r="P36" s="26" t="s">
        <v>69</v>
      </c>
      <c r="Q36" s="26" t="s">
        <v>70</v>
      </c>
      <c r="R36" s="26" t="s">
        <v>70</v>
      </c>
      <c r="S36" s="26" t="s">
        <v>152</v>
      </c>
      <c r="T36" s="26" t="s">
        <v>76</v>
      </c>
      <c r="U36" s="26" t="s">
        <v>69</v>
      </c>
      <c r="V36" s="26" t="s">
        <v>76</v>
      </c>
      <c r="W36" s="26" t="s">
        <v>93</v>
      </c>
      <c r="X36" s="26" t="s">
        <v>70</v>
      </c>
      <c r="Y36" s="26" t="s">
        <v>70</v>
      </c>
      <c r="Z36" s="26" t="s">
        <v>152</v>
      </c>
      <c r="AA36" s="26" t="s">
        <v>76</v>
      </c>
      <c r="AB36" s="26" t="s">
        <v>76</v>
      </c>
      <c r="AC36" s="26" t="s">
        <v>72</v>
      </c>
      <c r="AD36" s="26" t="s">
        <v>76</v>
      </c>
      <c r="AE36" s="26" t="s">
        <v>70</v>
      </c>
      <c r="AF36" s="26" t="s">
        <v>70</v>
      </c>
      <c r="AG36" s="26" t="s">
        <v>76</v>
      </c>
      <c r="AH36" s="26" t="s">
        <v>72</v>
      </c>
      <c r="AI36" s="112"/>
      <c r="AJ36" s="106"/>
      <c r="AK36" s="194"/>
      <c r="AL36" s="195"/>
      <c r="AM36" s="111">
        <f>(E36+F36+G36+H36+I36+L36+M36+N36+O36+P36+S36+T36+U36+V36+W36+Z36+AA36+AB36+AC36+AD36+AG36+AH36)/22</f>
        <v>0.36398358585858587</v>
      </c>
      <c r="AN36" s="181">
        <f>(E37+F37+G37+H37+I37+L37+M37+N37+O37+P37+S37+T37+V37+W37+Z37+AA37+AB37+AC37+AD37+AG37+AH37)/21</f>
        <v>0.77099867724867743</v>
      </c>
    </row>
    <row r="37" spans="1:40" ht="21.75" customHeight="1" x14ac:dyDescent="0.4">
      <c r="A37" s="124"/>
      <c r="B37" s="186"/>
      <c r="C37" s="120"/>
      <c r="D37" s="25" t="s">
        <v>52</v>
      </c>
      <c r="E37" s="26" t="s">
        <v>312</v>
      </c>
      <c r="F37" s="26" t="s">
        <v>88</v>
      </c>
      <c r="G37" s="26" t="s">
        <v>88</v>
      </c>
      <c r="H37" s="26" t="s">
        <v>88</v>
      </c>
      <c r="I37" s="26" t="s">
        <v>312</v>
      </c>
      <c r="J37" s="26" t="s">
        <v>70</v>
      </c>
      <c r="K37" s="26" t="s">
        <v>70</v>
      </c>
      <c r="L37" s="26" t="s">
        <v>88</v>
      </c>
      <c r="M37" s="26" t="s">
        <v>312</v>
      </c>
      <c r="N37" s="26" t="s">
        <v>312</v>
      </c>
      <c r="O37" s="26" t="s">
        <v>312</v>
      </c>
      <c r="P37" s="26" t="s">
        <v>312</v>
      </c>
      <c r="Q37" s="26" t="s">
        <v>70</v>
      </c>
      <c r="R37" s="26" t="s">
        <v>70</v>
      </c>
      <c r="S37" s="26" t="s">
        <v>312</v>
      </c>
      <c r="T37" s="26" t="s">
        <v>312</v>
      </c>
      <c r="U37" s="26" t="s">
        <v>312</v>
      </c>
      <c r="V37" s="26" t="s">
        <v>312</v>
      </c>
      <c r="W37" s="26" t="s">
        <v>312</v>
      </c>
      <c r="X37" s="26" t="s">
        <v>70</v>
      </c>
      <c r="Y37" s="26" t="s">
        <v>70</v>
      </c>
      <c r="Z37" s="26" t="s">
        <v>88</v>
      </c>
      <c r="AA37" s="26" t="s">
        <v>312</v>
      </c>
      <c r="AB37" s="26" t="s">
        <v>312</v>
      </c>
      <c r="AC37" s="26" t="s">
        <v>312</v>
      </c>
      <c r="AD37" s="26" t="s">
        <v>312</v>
      </c>
      <c r="AE37" s="26" t="s">
        <v>70</v>
      </c>
      <c r="AF37" s="26" t="s">
        <v>70</v>
      </c>
      <c r="AG37" s="26" t="s">
        <v>312</v>
      </c>
      <c r="AH37" s="26" t="s">
        <v>312</v>
      </c>
      <c r="AI37" s="112"/>
      <c r="AJ37" s="106"/>
      <c r="AK37" s="194"/>
      <c r="AL37" s="195"/>
      <c r="AM37" s="111"/>
      <c r="AN37" s="181"/>
    </row>
    <row r="38" spans="1:40" ht="21.75" customHeight="1" x14ac:dyDescent="0.4">
      <c r="A38" s="124"/>
      <c r="B38" s="186" t="s">
        <v>56</v>
      </c>
      <c r="C38" s="120" t="s">
        <v>564</v>
      </c>
      <c r="D38" s="25" t="s">
        <v>51</v>
      </c>
      <c r="E38" s="198" t="s">
        <v>70</v>
      </c>
      <c r="F38" s="198"/>
      <c r="G38" s="198"/>
      <c r="H38" s="26" t="s">
        <v>73</v>
      </c>
      <c r="I38" s="26" t="s">
        <v>73</v>
      </c>
      <c r="J38" s="26" t="s">
        <v>70</v>
      </c>
      <c r="K38" s="26" t="s">
        <v>70</v>
      </c>
      <c r="L38" s="26" t="s">
        <v>73</v>
      </c>
      <c r="M38" s="26" t="s">
        <v>73</v>
      </c>
      <c r="N38" s="26" t="s">
        <v>78</v>
      </c>
      <c r="O38" s="26" t="s">
        <v>73</v>
      </c>
      <c r="P38" s="26" t="s">
        <v>73</v>
      </c>
      <c r="Q38" s="26" t="s">
        <v>70</v>
      </c>
      <c r="R38" s="26" t="s">
        <v>70</v>
      </c>
      <c r="S38" s="26" t="s">
        <v>73</v>
      </c>
      <c r="T38" s="26" t="s">
        <v>73</v>
      </c>
      <c r="U38" s="26" t="s">
        <v>73</v>
      </c>
      <c r="V38" s="26" t="s">
        <v>73</v>
      </c>
      <c r="W38" s="26" t="s">
        <v>72</v>
      </c>
      <c r="X38" s="26" t="s">
        <v>70</v>
      </c>
      <c r="Y38" s="26" t="s">
        <v>70</v>
      </c>
      <c r="Z38" s="26" t="s">
        <v>76</v>
      </c>
      <c r="AA38" s="26" t="s">
        <v>73</v>
      </c>
      <c r="AB38" s="26" t="s">
        <v>74</v>
      </c>
      <c r="AC38" s="26" t="s">
        <v>73</v>
      </c>
      <c r="AD38" s="26" t="s">
        <v>93</v>
      </c>
      <c r="AE38" s="26" t="s">
        <v>70</v>
      </c>
      <c r="AF38" s="26" t="s">
        <v>70</v>
      </c>
      <c r="AG38" s="26" t="s">
        <v>93</v>
      </c>
      <c r="AH38" s="26" t="s">
        <v>72</v>
      </c>
      <c r="AI38" s="127"/>
      <c r="AJ38" s="106"/>
      <c r="AK38" s="194"/>
      <c r="AL38" s="195"/>
      <c r="AM38" s="111">
        <f>(H38+I38+L38+M38+N38+O38+P38+S38+T38+U38+V38+W38+Z38+AA38+AB38+AC38+AD38+AG38+AH38)/19</f>
        <v>0.36195175438596494</v>
      </c>
      <c r="AN38" s="181">
        <f>(H39+I39+L39+M39+N39+O39+P39+S39+T39+V39+W39+Z39+AA39+AB39+AC39+AD39+AG39+AH39)/18</f>
        <v>0.77299382716049381</v>
      </c>
    </row>
    <row r="39" spans="1:40" ht="21.75" customHeight="1" thickBot="1" x14ac:dyDescent="0.45">
      <c r="A39" s="124"/>
      <c r="B39" s="187"/>
      <c r="C39" s="121"/>
      <c r="D39" s="31" t="s">
        <v>52</v>
      </c>
      <c r="E39" s="199"/>
      <c r="F39" s="199"/>
      <c r="G39" s="199"/>
      <c r="H39" s="32" t="s">
        <v>80</v>
      </c>
      <c r="I39" s="32" t="s">
        <v>312</v>
      </c>
      <c r="J39" s="32" t="s">
        <v>70</v>
      </c>
      <c r="K39" s="32" t="s">
        <v>70</v>
      </c>
      <c r="L39" s="32" t="s">
        <v>312</v>
      </c>
      <c r="M39" s="32" t="s">
        <v>312</v>
      </c>
      <c r="N39" s="32" t="s">
        <v>312</v>
      </c>
      <c r="O39" s="32" t="s">
        <v>80</v>
      </c>
      <c r="P39" s="32" t="s">
        <v>88</v>
      </c>
      <c r="Q39" s="32" t="s">
        <v>70</v>
      </c>
      <c r="R39" s="32" t="s">
        <v>70</v>
      </c>
      <c r="S39" s="32" t="s">
        <v>88</v>
      </c>
      <c r="T39" s="32" t="s">
        <v>80</v>
      </c>
      <c r="U39" s="32" t="s">
        <v>237</v>
      </c>
      <c r="V39" s="32" t="s">
        <v>312</v>
      </c>
      <c r="W39" s="32" t="s">
        <v>310</v>
      </c>
      <c r="X39" s="32" t="s">
        <v>70</v>
      </c>
      <c r="Y39" s="32" t="s">
        <v>70</v>
      </c>
      <c r="Z39" s="32" t="s">
        <v>80</v>
      </c>
      <c r="AA39" s="32" t="s">
        <v>88</v>
      </c>
      <c r="AB39" s="32" t="s">
        <v>88</v>
      </c>
      <c r="AC39" s="32" t="s">
        <v>88</v>
      </c>
      <c r="AD39" s="32" t="s">
        <v>312</v>
      </c>
      <c r="AE39" s="32" t="s">
        <v>70</v>
      </c>
      <c r="AF39" s="32" t="s">
        <v>70</v>
      </c>
      <c r="AG39" s="32" t="s">
        <v>80</v>
      </c>
      <c r="AH39" s="32" t="s">
        <v>101</v>
      </c>
      <c r="AI39" s="215"/>
      <c r="AJ39" s="167"/>
      <c r="AK39" s="196"/>
      <c r="AL39" s="197"/>
      <c r="AM39" s="188"/>
      <c r="AN39" s="189"/>
    </row>
    <row r="40" spans="1:40" x14ac:dyDescent="0.4">
      <c r="AL40" s="36">
        <f>SUM(AL4:AL39)</f>
        <v>17</v>
      </c>
    </row>
  </sheetData>
  <mergeCells count="170">
    <mergeCell ref="A1:C1"/>
    <mergeCell ref="D1:I1"/>
    <mergeCell ref="A2:A3"/>
    <mergeCell ref="B2:B3"/>
    <mergeCell ref="C2:C3"/>
    <mergeCell ref="AI2:AI3"/>
    <mergeCell ref="AJ2:AJ3"/>
    <mergeCell ref="AK2:AK3"/>
    <mergeCell ref="AL2:AL3"/>
    <mergeCell ref="AM2:AM3"/>
    <mergeCell ref="AN2:AN3"/>
    <mergeCell ref="A4:A13"/>
    <mergeCell ref="B4:B5"/>
    <mergeCell ref="C4:C5"/>
    <mergeCell ref="AI4:AI5"/>
    <mergeCell ref="AJ4:AJ5"/>
    <mergeCell ref="AK4:AK5"/>
    <mergeCell ref="AL4:AL5"/>
    <mergeCell ref="AM4:AM5"/>
    <mergeCell ref="AN4:AN5"/>
    <mergeCell ref="B6:B7"/>
    <mergeCell ref="C6:C7"/>
    <mergeCell ref="AI6:AI7"/>
    <mergeCell ref="AJ6:AJ7"/>
    <mergeCell ref="AK6:AK7"/>
    <mergeCell ref="AL6:AL7"/>
    <mergeCell ref="AM6:AM7"/>
    <mergeCell ref="AN6:AN7"/>
    <mergeCell ref="B8:B9"/>
    <mergeCell ref="C8:C9"/>
    <mergeCell ref="AI8:AI9"/>
    <mergeCell ref="AJ8:AJ9"/>
    <mergeCell ref="AK8:AK9"/>
    <mergeCell ref="AN12:AN13"/>
    <mergeCell ref="AL14:AL15"/>
    <mergeCell ref="AM14:AM15"/>
    <mergeCell ref="AN14:AN15"/>
    <mergeCell ref="AL8:AL9"/>
    <mergeCell ref="AM8:AM9"/>
    <mergeCell ref="AN8:AN9"/>
    <mergeCell ref="B10:B11"/>
    <mergeCell ref="C10:C11"/>
    <mergeCell ref="AI10:AI11"/>
    <mergeCell ref="AJ10:AJ11"/>
    <mergeCell ref="AK10:AK11"/>
    <mergeCell ref="AL10:AL11"/>
    <mergeCell ref="AM10:AM11"/>
    <mergeCell ref="AN10:AN11"/>
    <mergeCell ref="AC10:AC11"/>
    <mergeCell ref="B14:B15"/>
    <mergeCell ref="C14:C15"/>
    <mergeCell ref="AI14:AI15"/>
    <mergeCell ref="AJ14:AJ15"/>
    <mergeCell ref="AK14:AK15"/>
    <mergeCell ref="B12:B13"/>
    <mergeCell ref="C12:C13"/>
    <mergeCell ref="AI12:AI13"/>
    <mergeCell ref="AJ12:AJ13"/>
    <mergeCell ref="AK12:AK13"/>
    <mergeCell ref="AN16:AN17"/>
    <mergeCell ref="B18:B19"/>
    <mergeCell ref="C18:C19"/>
    <mergeCell ref="AI18:AI19"/>
    <mergeCell ref="AJ18:AJ19"/>
    <mergeCell ref="AK18:AK19"/>
    <mergeCell ref="AL18:AL19"/>
    <mergeCell ref="AM18:AM19"/>
    <mergeCell ref="AN18:AN19"/>
    <mergeCell ref="B16:B17"/>
    <mergeCell ref="C16:C17"/>
    <mergeCell ref="AI16:AI17"/>
    <mergeCell ref="AJ16:AJ17"/>
    <mergeCell ref="AK16:AK17"/>
    <mergeCell ref="AL16:AL17"/>
    <mergeCell ref="AM16:AM17"/>
    <mergeCell ref="AN20:AN21"/>
    <mergeCell ref="B22:B23"/>
    <mergeCell ref="C22:C23"/>
    <mergeCell ref="AI22:AI23"/>
    <mergeCell ref="AJ22:AJ23"/>
    <mergeCell ref="AK22:AK23"/>
    <mergeCell ref="AL22:AL23"/>
    <mergeCell ref="A20:A27"/>
    <mergeCell ref="B20:B21"/>
    <mergeCell ref="C20:C21"/>
    <mergeCell ref="AI20:AI21"/>
    <mergeCell ref="AJ20:AJ21"/>
    <mergeCell ref="B26:B27"/>
    <mergeCell ref="C26:C27"/>
    <mergeCell ref="AI26:AI27"/>
    <mergeCell ref="A30:A39"/>
    <mergeCell ref="B30:B31"/>
    <mergeCell ref="C30:C31"/>
    <mergeCell ref="AI30:AI31"/>
    <mergeCell ref="AJ30:AJ31"/>
    <mergeCell ref="AN24:AN25"/>
    <mergeCell ref="B24:B25"/>
    <mergeCell ref="C24:C25"/>
    <mergeCell ref="AI24:AI25"/>
    <mergeCell ref="AJ24:AJ25"/>
    <mergeCell ref="AK24:AK25"/>
    <mergeCell ref="AL24:AL25"/>
    <mergeCell ref="AM24:AM25"/>
    <mergeCell ref="B32:B33"/>
    <mergeCell ref="C32:C33"/>
    <mergeCell ref="AI32:AI33"/>
    <mergeCell ref="AJ32:AJ33"/>
    <mergeCell ref="AK32:AK33"/>
    <mergeCell ref="AL32:AL33"/>
    <mergeCell ref="AJ26:AJ27"/>
    <mergeCell ref="AK26:AK27"/>
    <mergeCell ref="AL26:AL27"/>
    <mergeCell ref="B28:B29"/>
    <mergeCell ref="C28:C29"/>
    <mergeCell ref="AL36:AL37"/>
    <mergeCell ref="B34:B35"/>
    <mergeCell ref="C34:C35"/>
    <mergeCell ref="AI34:AI35"/>
    <mergeCell ref="AJ34:AJ35"/>
    <mergeCell ref="AK34:AK35"/>
    <mergeCell ref="AL34:AL35"/>
    <mergeCell ref="AK30:AK31"/>
    <mergeCell ref="AL30:AL31"/>
    <mergeCell ref="B38:B39"/>
    <mergeCell ref="C38:C39"/>
    <mergeCell ref="AI38:AI39"/>
    <mergeCell ref="AJ38:AJ39"/>
    <mergeCell ref="B36:B37"/>
    <mergeCell ref="C36:C37"/>
    <mergeCell ref="AI36:AI37"/>
    <mergeCell ref="AJ36:AJ37"/>
    <mergeCell ref="AK36:AK37"/>
    <mergeCell ref="AN28:AN29"/>
    <mergeCell ref="M18:AH19"/>
    <mergeCell ref="E30:G31"/>
    <mergeCell ref="E38:G39"/>
    <mergeCell ref="AK38:AK39"/>
    <mergeCell ref="AL38:AL39"/>
    <mergeCell ref="AM38:AM39"/>
    <mergeCell ref="AN38:AN39"/>
    <mergeCell ref="AN34:AN35"/>
    <mergeCell ref="AM36:AM37"/>
    <mergeCell ref="AN36:AN37"/>
    <mergeCell ref="AM32:AM33"/>
    <mergeCell ref="AN32:AN33"/>
    <mergeCell ref="AM34:AM35"/>
    <mergeCell ref="AM30:AM31"/>
    <mergeCell ref="AN30:AN31"/>
    <mergeCell ref="AM26:AM27"/>
    <mergeCell ref="AN26:AN27"/>
    <mergeCell ref="AM22:AM23"/>
    <mergeCell ref="AN22:AN23"/>
    <mergeCell ref="AK20:AK21"/>
    <mergeCell ref="AL20:AL21"/>
    <mergeCell ref="AM20:AM21"/>
    <mergeCell ref="AI28:AI29"/>
    <mergeCell ref="AD6:AD7"/>
    <mergeCell ref="AG24:AG25"/>
    <mergeCell ref="W8:W9"/>
    <mergeCell ref="I4:I5"/>
    <mergeCell ref="E34:F35"/>
    <mergeCell ref="V12:V13"/>
    <mergeCell ref="Z32:Z33"/>
    <mergeCell ref="AB10:AB11"/>
    <mergeCell ref="AM28:AM29"/>
    <mergeCell ref="AJ28:AJ29"/>
    <mergeCell ref="AK28:AK29"/>
    <mergeCell ref="AL28:AL29"/>
    <mergeCell ref="AL12:AL13"/>
    <mergeCell ref="AM12:AM13"/>
  </mergeCells>
  <phoneticPr fontId="5" type="noConversion"/>
  <conditionalFormatting sqref="E20:E24">
    <cfRule type="expression" dxfId="235" priority="525">
      <formula>OR(WEEKDAY(E$3)=7,WEEKDAY(E$3)=1)</formula>
    </cfRule>
  </conditionalFormatting>
  <conditionalFormatting sqref="E26:E30">
    <cfRule type="expression" dxfId="234" priority="1">
      <formula>OR(WEEKDAY(E$3)=7,WEEKDAY(E$3)=1)</formula>
    </cfRule>
  </conditionalFormatting>
  <conditionalFormatting sqref="E32:E34">
    <cfRule type="expression" dxfId="233" priority="55">
      <formula>OR(WEEKDAY(E$3)=7,WEEKDAY(E$3)=1)</formula>
    </cfRule>
  </conditionalFormatting>
  <conditionalFormatting sqref="E36">
    <cfRule type="expression" dxfId="232" priority="666">
      <formula>OR(WEEKDAY(E$3)=7,WEEKDAY(E$3)=1)</formula>
    </cfRule>
  </conditionalFormatting>
  <conditionalFormatting sqref="E38">
    <cfRule type="expression" dxfId="231" priority="660">
      <formula>OR(WEEKDAY(E$3)=7,WEEKDAY(E$3)=1)</formula>
    </cfRule>
  </conditionalFormatting>
  <conditionalFormatting sqref="E4:G17">
    <cfRule type="expression" dxfId="230" priority="28">
      <formula>OR(WEEKDAY(E$3)=7,WEEKDAY(E$3)=1)</formula>
    </cfRule>
  </conditionalFormatting>
  <conditionalFormatting sqref="E2:AH3">
    <cfRule type="expression" dxfId="229" priority="792">
      <formula>OR(WEEKDAY(E$3)=7,WEEKDAY(E$3)=1)</formula>
    </cfRule>
  </conditionalFormatting>
  <conditionalFormatting sqref="E3:AH3">
    <cfRule type="expression" dxfId="228" priority="541">
      <formula>WEEKDAY(E3)=1</formula>
    </cfRule>
    <cfRule type="expression" dxfId="227" priority="542">
      <formula>WEEKDAY(E3)=7</formula>
    </cfRule>
  </conditionalFormatting>
  <conditionalFormatting sqref="F32:F33">
    <cfRule type="expression" dxfId="226" priority="193">
      <formula>OR(WEEKDAY(F$3)=7,WEEKDAY(F$3)=1)</formula>
    </cfRule>
  </conditionalFormatting>
  <conditionalFormatting sqref="F20:G29">
    <cfRule type="expression" dxfId="225" priority="15">
      <formula>OR(WEEKDAY(F$3)=7,WEEKDAY(F$3)=1)</formula>
    </cfRule>
  </conditionalFormatting>
  <conditionalFormatting sqref="G32:G35">
    <cfRule type="expression" dxfId="224" priority="34">
      <formula>OR(WEEKDAY(G$3)=7,WEEKDAY(G$3)=1)</formula>
    </cfRule>
  </conditionalFormatting>
  <conditionalFormatting sqref="H4:H8">
    <cfRule type="expression" dxfId="223" priority="169">
      <formula>OR(WEEKDAY(H$3)=7,WEEKDAY(H$3)=1)</formula>
    </cfRule>
  </conditionalFormatting>
  <conditionalFormatting sqref="H10:H17">
    <cfRule type="expression" dxfId="222" priority="802">
      <formula>OR(WEEKDAY(H$3)=7,WEEKDAY(H$3)=1)</formula>
    </cfRule>
  </conditionalFormatting>
  <conditionalFormatting sqref="H20:H28">
    <cfRule type="expression" dxfId="221" priority="114">
      <formula>OR(WEEKDAY(H$3)=7,WEEKDAY(H$3)=1)</formula>
    </cfRule>
  </conditionalFormatting>
  <conditionalFormatting sqref="H30:H35">
    <cfRule type="expression" dxfId="220" priority="35">
      <formula>OR(WEEKDAY(H$3)=7,WEEKDAY(H$3)=1)</formula>
    </cfRule>
  </conditionalFormatting>
  <conditionalFormatting sqref="H38:I39">
    <cfRule type="expression" dxfId="219" priority="5">
      <formula>OR(WEEKDAY(H$3)=7,WEEKDAY(H$3)=1)</formula>
    </cfRule>
  </conditionalFormatting>
  <conditionalFormatting sqref="I4">
    <cfRule type="expression" dxfId="218" priority="52">
      <formula>OR(WEEKDAY(I$3)=7,WEEKDAY(I$3)=1)</formula>
    </cfRule>
  </conditionalFormatting>
  <conditionalFormatting sqref="I6:I7">
    <cfRule type="expression" dxfId="217" priority="482">
      <formula>OR(WEEKDAY(I$3)=7,WEEKDAY(I$3)=1)</formula>
    </cfRule>
  </conditionalFormatting>
  <conditionalFormatting sqref="I11:I17">
    <cfRule type="expression" dxfId="216" priority="481">
      <formula>OR(WEEKDAY(I$3)=7,WEEKDAY(I$3)=1)</formula>
    </cfRule>
  </conditionalFormatting>
  <conditionalFormatting sqref="I35">
    <cfRule type="expression" dxfId="215" priority="156">
      <formula>OR(WEEKDAY(I$3)=7,WEEKDAY(I$3)=1)</formula>
    </cfRule>
  </conditionalFormatting>
  <conditionalFormatting sqref="I10:J10">
    <cfRule type="expression" dxfId="214" priority="488">
      <formula>OR(WEEKDAY(I$3)=7,WEEKDAY(I$3)=1)</formula>
    </cfRule>
  </conditionalFormatting>
  <conditionalFormatting sqref="I20:J34">
    <cfRule type="expression" dxfId="213" priority="135">
      <formula>OR(WEEKDAY(I$3)=7,WEEKDAY(I$3)=1)</formula>
    </cfRule>
  </conditionalFormatting>
  <conditionalFormatting sqref="J4:J9">
    <cfRule type="expression" dxfId="212" priority="105">
      <formula>OR(WEEKDAY(J$3)=7,WEEKDAY(J$3)=1)</formula>
    </cfRule>
  </conditionalFormatting>
  <conditionalFormatting sqref="J11:J19">
    <cfRule type="expression" dxfId="211" priority="87">
      <formula>OR(WEEKDAY(J$3)=7,WEEKDAY(J$3)=1)</formula>
    </cfRule>
  </conditionalFormatting>
  <conditionalFormatting sqref="J35:J39">
    <cfRule type="expression" dxfId="210" priority="81">
      <formula>OR(WEEKDAY(J$3)=7,WEEKDAY(J$3)=1)</formula>
    </cfRule>
  </conditionalFormatting>
  <conditionalFormatting sqref="K18:K19">
    <cfRule type="expression" dxfId="209" priority="85">
      <formula>OR(WEEKDAY(K$3)=7,WEEKDAY(K$3)=1)</formula>
    </cfRule>
  </conditionalFormatting>
  <conditionalFormatting sqref="K25">
    <cfRule type="expression" dxfId="208" priority="523">
      <formula>OR(WEEKDAY(K$3)=7,WEEKDAY(K$3)=1)</formula>
    </cfRule>
  </conditionalFormatting>
  <conditionalFormatting sqref="K36:K39">
    <cfRule type="expression" dxfId="207" priority="79">
      <formula>OR(WEEKDAY(K$3)=7,WEEKDAY(K$3)=1)</formula>
    </cfRule>
  </conditionalFormatting>
  <conditionalFormatting sqref="K4:L17">
    <cfRule type="expression" dxfId="206" priority="22">
      <formula>OR(WEEKDAY(K$3)=7,WEEKDAY(K$3)=1)</formula>
    </cfRule>
  </conditionalFormatting>
  <conditionalFormatting sqref="K20:L24">
    <cfRule type="expression" dxfId="205" priority="524">
      <formula>OR(WEEKDAY(K$3)=7,WEEKDAY(K$3)=1)</formula>
    </cfRule>
  </conditionalFormatting>
  <conditionalFormatting sqref="K26:L35">
    <cfRule type="expression" dxfId="204" priority="123">
      <formula>OR(WEEKDAY(K$3)=7,WEEKDAY(K$3)=1)</formula>
    </cfRule>
  </conditionalFormatting>
  <conditionalFormatting sqref="L19">
    <cfRule type="expression" dxfId="203" priority="27">
      <formula>OR(WEEKDAY(L$3)=7,WEEKDAY(L$3)=1)</formula>
    </cfRule>
  </conditionalFormatting>
  <conditionalFormatting sqref="L38:P39">
    <cfRule type="expression" dxfId="202" priority="6">
      <formula>OR(WEEKDAY(L$3)=7,WEEKDAY(L$3)=1)</formula>
    </cfRule>
  </conditionalFormatting>
  <conditionalFormatting sqref="M4:M18">
    <cfRule type="expression" dxfId="201" priority="138">
      <formula>OR(WEEKDAY(M$3)=7,WEEKDAY(M$3)=1)</formula>
    </cfRule>
  </conditionalFormatting>
  <conditionalFormatting sqref="M20:M35">
    <cfRule type="expression" dxfId="200" priority="21">
      <formula>OR(WEEKDAY(M$3)=7,WEEKDAY(M$3)=1)</formula>
    </cfRule>
  </conditionalFormatting>
  <conditionalFormatting sqref="N20:N27">
    <cfRule type="expression" dxfId="199" priority="25">
      <formula>OR(WEEKDAY(N$3)=7,WEEKDAY(N$3)=1)</formula>
    </cfRule>
  </conditionalFormatting>
  <conditionalFormatting sqref="N30:N35">
    <cfRule type="expression" dxfId="198" priority="13">
      <formula>OR(WEEKDAY(N$3)=7,WEEKDAY(N$3)=1)</formula>
    </cfRule>
  </conditionalFormatting>
  <conditionalFormatting sqref="N4:O17">
    <cfRule type="expression" dxfId="197" priority="300">
      <formula>OR(WEEKDAY(N$3)=7,WEEKDAY(N$3)=1)</formula>
    </cfRule>
  </conditionalFormatting>
  <conditionalFormatting sqref="N28:O28">
    <cfRule type="expression" dxfId="196" priority="132">
      <formula>OR(WEEKDAY(N$3)=7,WEEKDAY(N$3)=1)</formula>
    </cfRule>
  </conditionalFormatting>
  <conditionalFormatting sqref="O24:O26">
    <cfRule type="expression" dxfId="195" priority="429">
      <formula>OR(WEEKDAY(O$3)=7,WEEKDAY(O$3)=1)</formula>
    </cfRule>
  </conditionalFormatting>
  <conditionalFormatting sqref="O29:O35">
    <cfRule type="expression" dxfId="194" priority="130">
      <formula>OR(WEEKDAY(O$3)=7,WEEKDAY(O$3)=1)</formula>
    </cfRule>
  </conditionalFormatting>
  <conditionalFormatting sqref="O20:Q22">
    <cfRule type="expression" dxfId="193" priority="475">
      <formula>OR(WEEKDAY(O$3)=7,WEEKDAY(O$3)=1)</formula>
    </cfRule>
  </conditionalFormatting>
  <conditionalFormatting sqref="P5:P10">
    <cfRule type="expression" dxfId="192" priority="168">
      <formula>OR(WEEKDAY(P$3)=7,WEEKDAY(P$3)=1)</formula>
    </cfRule>
  </conditionalFormatting>
  <conditionalFormatting sqref="P12:P17">
    <cfRule type="expression" dxfId="191" priority="45">
      <formula>OR(WEEKDAY(P$3)=7,WEEKDAY(P$3)=1)</formula>
    </cfRule>
  </conditionalFormatting>
  <conditionalFormatting sqref="P4:Q4">
    <cfRule type="expression" dxfId="190" priority="502">
      <formula>OR(WEEKDAY(P$3)=7,WEEKDAY(P$3)=1)</formula>
    </cfRule>
  </conditionalFormatting>
  <conditionalFormatting sqref="P23:Q35">
    <cfRule type="expression" dxfId="189" priority="46">
      <formula>OR(WEEKDAY(P$3)=7,WEEKDAY(P$3)=1)</formula>
    </cfRule>
  </conditionalFormatting>
  <conditionalFormatting sqref="Q5:Q17">
    <cfRule type="expression" dxfId="188" priority="103">
      <formula>OR(WEEKDAY(Q$3)=7,WEEKDAY(Q$3)=1)</formula>
    </cfRule>
  </conditionalFormatting>
  <conditionalFormatting sqref="Q36:Q39">
    <cfRule type="expression" dxfId="187" priority="77">
      <formula>OR(WEEKDAY(Q$3)=7,WEEKDAY(Q$3)=1)</formula>
    </cfRule>
  </conditionalFormatting>
  <conditionalFormatting sqref="R28:R30">
    <cfRule type="expression" dxfId="186" priority="83">
      <formula>OR(WEEKDAY(R$3)=7,WEEKDAY(R$3)=1)</formula>
    </cfRule>
  </conditionalFormatting>
  <conditionalFormatting sqref="R36:R37">
    <cfRule type="expression" dxfId="185" priority="75">
      <formula>OR(WEEKDAY(R$3)=7,WEEKDAY(R$3)=1)</formula>
    </cfRule>
  </conditionalFormatting>
  <conditionalFormatting sqref="R20:S27">
    <cfRule type="expression" dxfId="184" priority="521">
      <formula>OR(WEEKDAY(R$3)=7,WEEKDAY(R$3)=1)</formula>
    </cfRule>
  </conditionalFormatting>
  <conditionalFormatting sqref="R31:S35">
    <cfRule type="expression" dxfId="183" priority="574">
      <formula>OR(WEEKDAY(R$3)=7,WEEKDAY(R$3)=1)</formula>
    </cfRule>
  </conditionalFormatting>
  <conditionalFormatting sqref="R4:U17">
    <cfRule type="expression" dxfId="182" priority="31">
      <formula>OR(WEEKDAY(R$3)=7,WEEKDAY(R$3)=1)</formula>
    </cfRule>
  </conditionalFormatting>
  <conditionalFormatting sqref="R38:U39">
    <cfRule type="expression" dxfId="181" priority="210">
      <formula>OR(WEEKDAY(R$3)=7,WEEKDAY(R$3)=1)</formula>
    </cfRule>
  </conditionalFormatting>
  <conditionalFormatting sqref="S30">
    <cfRule type="expression" dxfId="180" priority="576">
      <formula>OR(WEEKDAY(S$3)=7,WEEKDAY(S$3)=1)</formula>
    </cfRule>
  </conditionalFormatting>
  <conditionalFormatting sqref="T20:U35">
    <cfRule type="expression" dxfId="179" priority="14">
      <formula>OR(WEEKDAY(T$3)=7,WEEKDAY(T$3)=1)</formula>
    </cfRule>
  </conditionalFormatting>
  <conditionalFormatting sqref="V4:V6">
    <cfRule type="expression" dxfId="178" priority="166">
      <formula>OR(WEEKDAY(V$3)=7,WEEKDAY(V$3)=1)</formula>
    </cfRule>
  </conditionalFormatting>
  <conditionalFormatting sqref="V8:V12">
    <cfRule type="expression" dxfId="177" priority="42">
      <formula>OR(WEEKDAY(V$3)=7,WEEKDAY(V$3)=1)</formula>
    </cfRule>
  </conditionalFormatting>
  <conditionalFormatting sqref="V14:V15">
    <cfRule type="expression" dxfId="176" priority="758">
      <formula>OR(WEEKDAY(V$3)=7,WEEKDAY(V$3)=1)</formula>
    </cfRule>
  </conditionalFormatting>
  <conditionalFormatting sqref="V20">
    <cfRule type="expression" dxfId="175" priority="157">
      <formula>OR(WEEKDAY(V$3)=7,WEEKDAY(V$3)=1)</formula>
    </cfRule>
  </conditionalFormatting>
  <conditionalFormatting sqref="V22:V39">
    <cfRule type="expression" dxfId="174" priority="3">
      <formula>OR(WEEKDAY(V$3)=7,WEEKDAY(V$3)=1)</formula>
    </cfRule>
  </conditionalFormatting>
  <conditionalFormatting sqref="W8">
    <cfRule type="expression" dxfId="173" priority="54">
      <formula>OR(WEEKDAY(W$3)=7,WEEKDAY(W$3)=1)</formula>
    </cfRule>
  </conditionalFormatting>
  <conditionalFormatting sqref="W11:W12">
    <cfRule type="expression" dxfId="172" priority="167">
      <formula>OR(WEEKDAY(W$3)=7,WEEKDAY(W$3)=1)</formula>
    </cfRule>
  </conditionalFormatting>
  <conditionalFormatting sqref="W14:W17">
    <cfRule type="expression" dxfId="171" priority="47">
      <formula>OR(WEEKDAY(W$3)=7,WEEKDAY(W$3)=1)</formula>
    </cfRule>
  </conditionalFormatting>
  <conditionalFormatting sqref="W4:X4">
    <cfRule type="expression" dxfId="170" priority="831">
      <formula>OR(WEEKDAY(W$3)=7,WEEKDAY(W$3)=1)</formula>
    </cfRule>
  </conditionalFormatting>
  <conditionalFormatting sqref="W10:X10">
    <cfRule type="expression" dxfId="169" priority="830">
      <formula>OR(WEEKDAY(W$3)=7,WEEKDAY(W$3)=1)</formula>
    </cfRule>
  </conditionalFormatting>
  <conditionalFormatting sqref="W20:X39">
    <cfRule type="expression" dxfId="168" priority="73">
      <formula>OR(WEEKDAY(W$3)=7,WEEKDAY(W$3)=1)</formula>
    </cfRule>
  </conditionalFormatting>
  <conditionalFormatting sqref="X5:X9">
    <cfRule type="expression" dxfId="167" priority="99">
      <formula>OR(WEEKDAY(X$3)=7,WEEKDAY(X$3)=1)</formula>
    </cfRule>
  </conditionalFormatting>
  <conditionalFormatting sqref="X11:X17">
    <cfRule type="expression" dxfId="166" priority="97">
      <formula>OR(WEEKDAY(X$3)=7,WEEKDAY(X$3)=1)</formula>
    </cfRule>
  </conditionalFormatting>
  <conditionalFormatting sqref="Y28:Y30">
    <cfRule type="expression" dxfId="165" priority="57">
      <formula>OR(WEEKDAY(Y$3)=7,WEEKDAY(Y$3)=1)</formula>
    </cfRule>
  </conditionalFormatting>
  <conditionalFormatting sqref="Y32:Y34">
    <cfRule type="expression" dxfId="164" priority="162">
      <formula>OR(WEEKDAY(Y$3)=7,WEEKDAY(Y$3)=1)</formula>
    </cfRule>
  </conditionalFormatting>
  <conditionalFormatting sqref="Y38:Y39">
    <cfRule type="expression" dxfId="163" priority="160">
      <formula>OR(WEEKDAY(Y$3)=7,WEEKDAY(Y$3)=1)</formula>
    </cfRule>
  </conditionalFormatting>
  <conditionalFormatting sqref="Y31:Z31">
    <cfRule type="expression" dxfId="162" priority="569">
      <formula>OR(WEEKDAY(Y$3)=7,WEEKDAY(Y$3)=1)</formula>
    </cfRule>
  </conditionalFormatting>
  <conditionalFormatting sqref="Y35:Z37">
    <cfRule type="expression" dxfId="161" priority="567">
      <formula>OR(WEEKDAY(Y$3)=7,WEEKDAY(Y$3)=1)</formula>
    </cfRule>
  </conditionalFormatting>
  <conditionalFormatting sqref="Y4:AA17">
    <cfRule type="expression" dxfId="160" priority="95">
      <formula>OR(WEEKDAY(Y$3)=7,WEEKDAY(Y$3)=1)</formula>
    </cfRule>
  </conditionalFormatting>
  <conditionalFormatting sqref="Y20:AE27">
    <cfRule type="expression" dxfId="159" priority="17">
      <formula>OR(WEEKDAY(Y$3)=7,WEEKDAY(Y$3)=1)</formula>
    </cfRule>
  </conditionalFormatting>
  <conditionalFormatting sqref="Z30">
    <cfRule type="expression" dxfId="158" priority="570">
      <formula>OR(WEEKDAY(Z$3)=7,WEEKDAY(Z$3)=1)</formula>
    </cfRule>
  </conditionalFormatting>
  <conditionalFormatting sqref="Z32">
    <cfRule type="expression" dxfId="157" priority="41">
      <formula>OR(WEEKDAY(Z$3)=7,WEEKDAY(Z$3)=1)</formula>
    </cfRule>
  </conditionalFormatting>
  <conditionalFormatting sqref="Z34">
    <cfRule type="expression" dxfId="156" priority="568">
      <formula>OR(WEEKDAY(Z$3)=7,WEEKDAY(Z$3)=1)</formula>
    </cfRule>
  </conditionalFormatting>
  <conditionalFormatting sqref="Z38">
    <cfRule type="expression" dxfId="155" priority="426">
      <formula>OR(WEEKDAY(Z$3)=7,WEEKDAY(Z$3)=1)</formula>
    </cfRule>
  </conditionalFormatting>
  <conditionalFormatting sqref="AA30:AB39">
    <cfRule type="expression" dxfId="154" priority="4">
      <formula>OR(WEEKDAY(AA$3)=7,WEEKDAY(AA$3)=1)</formula>
    </cfRule>
  </conditionalFormatting>
  <conditionalFormatting sqref="AB4:AC10">
    <cfRule type="expression" dxfId="153" priority="38">
      <formula>OR(WEEKDAY(AB$3)=7,WEEKDAY(AB$3)=1)</formula>
    </cfRule>
  </conditionalFormatting>
  <conditionalFormatting sqref="AB12:AC17">
    <cfRule type="expression" dxfId="152" priority="29">
      <formula>OR(WEEKDAY(AB$3)=7,WEEKDAY(AB$3)=1)</formula>
    </cfRule>
  </conditionalFormatting>
  <conditionalFormatting sqref="AC30:AC36">
    <cfRule type="expression" dxfId="151" priority="33">
      <formula>OR(WEEKDAY(AC$3)=7,WEEKDAY(AC$3)=1)</formula>
    </cfRule>
  </conditionalFormatting>
  <conditionalFormatting sqref="AC38:AC39">
    <cfRule type="expression" dxfId="150" priority="159">
      <formula>OR(WEEKDAY(AC$3)=7,WEEKDAY(AC$3)=1)</formula>
    </cfRule>
  </conditionalFormatting>
  <conditionalFormatting sqref="AD5:AD6">
    <cfRule type="expression" dxfId="149" priority="37">
      <formula>OR(WEEKDAY(AD$3)=7,WEEKDAY(AD$3)=1)</formula>
    </cfRule>
  </conditionalFormatting>
  <conditionalFormatting sqref="AD8:AD9">
    <cfRule type="expression" dxfId="148" priority="506">
      <formula>OR(WEEKDAY(AD$3)=7,WEEKDAY(AD$3)=1)</formula>
    </cfRule>
  </conditionalFormatting>
  <conditionalFormatting sqref="AD30">
    <cfRule type="expression" dxfId="147" priority="439">
      <formula>OR(WEEKDAY(AD$3)=7,WEEKDAY(AD$3)=1)</formula>
    </cfRule>
  </conditionalFormatting>
  <conditionalFormatting sqref="AD37:AD38">
    <cfRule type="expression" dxfId="146" priority="434">
      <formula>OR(WEEKDAY(AD$3)=7,WEEKDAY(AD$3)=1)</formula>
    </cfRule>
  </conditionalFormatting>
  <conditionalFormatting sqref="AD4:AE4">
    <cfRule type="expression" dxfId="145" priority="515">
      <formula>OR(WEEKDAY(AD$3)=7,WEEKDAY(AD$3)=1)</formula>
    </cfRule>
  </conditionalFormatting>
  <conditionalFormatting sqref="AD10:AE17">
    <cfRule type="expression" dxfId="144" priority="93">
      <formula>OR(WEEKDAY(AD$3)=7,WEEKDAY(AD$3)=1)</formula>
    </cfRule>
  </conditionalFormatting>
  <conditionalFormatting sqref="AD31:AE36">
    <cfRule type="expression" dxfId="143" priority="436">
      <formula>OR(WEEKDAY(AD$3)=7,WEEKDAY(AD$3)=1)</formula>
    </cfRule>
  </conditionalFormatting>
  <conditionalFormatting sqref="AE5:AE9">
    <cfRule type="expression" dxfId="142" priority="503">
      <formula>OR(WEEKDAY(AE$3)=7,WEEKDAY(AE$3)=1)</formula>
    </cfRule>
  </conditionalFormatting>
  <conditionalFormatting sqref="AE28:AE30">
    <cfRule type="expression" dxfId="141" priority="61">
      <formula>OR(WEEKDAY(AE$3)=7,WEEKDAY(AE$3)=1)</formula>
    </cfRule>
  </conditionalFormatting>
  <conditionalFormatting sqref="AE37:AE39">
    <cfRule type="expression" dxfId="140" priority="71">
      <formula>OR(WEEKDAY(AE$3)=7,WEEKDAY(AE$3)=1)</formula>
    </cfRule>
  </conditionalFormatting>
  <conditionalFormatting sqref="AF4:AF5">
    <cfRule type="expression" dxfId="139" priority="141">
      <formula>OR(WEEKDAY(AF$3)=7,WEEKDAY(AF$3)=1)</formula>
    </cfRule>
  </conditionalFormatting>
  <conditionalFormatting sqref="AF11">
    <cfRule type="expression" dxfId="138" priority="612">
      <formula>OR(WEEKDAY(AF$3)=7,WEEKDAY(AF$3)=1)</formula>
    </cfRule>
  </conditionalFormatting>
  <conditionalFormatting sqref="AF14:AF15">
    <cfRule type="expression" dxfId="137" priority="91">
      <formula>OR(WEEKDAY(AF$3)=7,WEEKDAY(AF$3)=1)</formula>
    </cfRule>
  </conditionalFormatting>
  <conditionalFormatting sqref="AF21:AF30">
    <cfRule type="expression" dxfId="136" priority="59">
      <formula>OR(WEEKDAY(AF$3)=7,WEEKDAY(AF$3)=1)</formula>
    </cfRule>
  </conditionalFormatting>
  <conditionalFormatting sqref="AF32:AF39">
    <cfRule type="expression" dxfId="135" priority="67">
      <formula>OR(WEEKDAY(AF$3)=7,WEEKDAY(AF$3)=1)</formula>
    </cfRule>
  </conditionalFormatting>
  <conditionalFormatting sqref="AF6:AG10">
    <cfRule type="expression" dxfId="134" priority="407">
      <formula>OR(WEEKDAY(AF$3)=7,WEEKDAY(AF$3)=1)</formula>
    </cfRule>
  </conditionalFormatting>
  <conditionalFormatting sqref="AF12:AG13">
    <cfRule type="expression" dxfId="133" priority="614">
      <formula>OR(WEEKDAY(AF$3)=7,WEEKDAY(AF$3)=1)</formula>
    </cfRule>
  </conditionalFormatting>
  <conditionalFormatting sqref="AF16:AG17">
    <cfRule type="expression" dxfId="132" priority="610">
      <formula>OR(WEEKDAY(AF$3)=7,WEEKDAY(AF$3)=1)</formula>
    </cfRule>
  </conditionalFormatting>
  <conditionalFormatting sqref="AF20:AG20">
    <cfRule type="expression" dxfId="131" priority="587">
      <formula>OR(WEEKDAY(AF$3)=7,WEEKDAY(AF$3)=1)</formula>
    </cfRule>
  </conditionalFormatting>
  <conditionalFormatting sqref="AF31:AG31">
    <cfRule type="expression" dxfId="130" priority="563">
      <formula>OR(WEEKDAY(AF$3)=7,WEEKDAY(AF$3)=1)</formula>
    </cfRule>
  </conditionalFormatting>
  <conditionalFormatting sqref="AG21:AG24">
    <cfRule type="expression" dxfId="129" priority="24">
      <formula>OR(WEEKDAY(AG$3)=7,WEEKDAY(AG$3)=1)</formula>
    </cfRule>
  </conditionalFormatting>
  <conditionalFormatting sqref="AG26:AG27">
    <cfRule type="expression" dxfId="128" priority="16">
      <formula>OR(WEEKDAY(AG$3)=7,WEEKDAY(AG$3)=1)</formula>
    </cfRule>
  </conditionalFormatting>
  <conditionalFormatting sqref="AG30">
    <cfRule type="expression" dxfId="127" priority="564">
      <formula>OR(WEEKDAY(AG$3)=7,WEEKDAY(AG$3)=1)</formula>
    </cfRule>
  </conditionalFormatting>
  <conditionalFormatting sqref="AG32">
    <cfRule type="expression" dxfId="126" priority="431">
      <formula>OR(WEEKDAY(AG$3)=7,WEEKDAY(AG$3)=1)</formula>
    </cfRule>
  </conditionalFormatting>
  <conditionalFormatting sqref="AG34">
    <cfRule type="expression" dxfId="125" priority="158">
      <formula>OR(WEEKDAY(AG$3)=7,WEEKDAY(AG$3)=1)</formula>
    </cfRule>
  </conditionalFormatting>
  <conditionalFormatting sqref="AG36">
    <cfRule type="expression" dxfId="124" priority="2">
      <formula>OR(WEEKDAY(AG$3)=7,WEEKDAY(AG$3)=1)</formula>
    </cfRule>
  </conditionalFormatting>
  <conditionalFormatting sqref="AH4:AH17">
    <cfRule type="expression" dxfId="123" priority="357">
      <formula>OR(WEEKDAY(AH$3)=7,WEEKDAY(AH$3)=1)</formula>
    </cfRule>
  </conditionalFormatting>
  <conditionalFormatting sqref="AH20:AH37">
    <cfRule type="expression" dxfId="122" priority="20">
      <formula>OR(WEEKDAY(AH$3)=7,WEEKDAY(AH$3)=1)</formula>
    </cfRule>
  </conditionalFormatting>
  <pageMargins left="0.25" right="0.25" top="0.75" bottom="0.75" header="0.3" footer="0.3"/>
  <pageSetup paperSize="9" scale="50" fitToHeight="0" orientation="landscape" cellComments="asDisplaye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C676-0052-46B2-A98C-E5D93B422415}">
  <sheetPr>
    <pageSetUpPr fitToPage="1"/>
  </sheetPr>
  <dimension ref="A1:BP40"/>
  <sheetViews>
    <sheetView showGridLines="0" tabSelected="1" topLeftCell="B1" zoomScale="70" zoomScaleNormal="70" workbookViewId="0">
      <pane xSplit="2" ySplit="3" topLeftCell="D4" activePane="bottomRight" state="frozen"/>
      <selection activeCell="B1" sqref="B1"/>
      <selection pane="topRight" activeCell="D1" sqref="D1"/>
      <selection pane="bottomLeft" activeCell="B4" sqref="B4"/>
      <selection pane="bottomRight" activeCell="T17" sqref="T17"/>
    </sheetView>
  </sheetViews>
  <sheetFormatPr defaultColWidth="9" defaultRowHeight="15.6" x14ac:dyDescent="0.4"/>
  <cols>
    <col min="1" max="1" width="17.19921875" style="27" customWidth="1"/>
    <col min="2" max="2" width="5.8984375" style="27" customWidth="1"/>
    <col min="3" max="3" width="13" style="35" customWidth="1"/>
    <col min="4" max="4" width="7.3984375" style="35" customWidth="1"/>
    <col min="5" max="18" width="5.3984375" style="27" customWidth="1"/>
    <col min="19" max="19" width="5.3984375" style="86" customWidth="1"/>
    <col min="20" max="35" width="5.3984375" style="27" customWidth="1"/>
    <col min="36" max="38" width="9" style="27" customWidth="1"/>
    <col min="39" max="39" width="9.59765625" style="36" customWidth="1"/>
    <col min="40" max="40" width="9" style="27"/>
    <col min="41" max="41" width="10" style="27" bestFit="1" customWidth="1"/>
    <col min="42" max="16384" width="9" style="27"/>
  </cols>
  <sheetData>
    <row r="1" spans="1:68" s="15" customFormat="1" ht="36.75" customHeight="1" thickBot="1" x14ac:dyDescent="0.45">
      <c r="A1" s="130">
        <v>45078</v>
      </c>
      <c r="B1" s="130"/>
      <c r="C1" s="131"/>
      <c r="D1" s="132">
        <v>45931</v>
      </c>
      <c r="E1" s="133"/>
      <c r="F1" s="133"/>
      <c r="G1" s="133"/>
      <c r="H1" s="133"/>
      <c r="I1" s="134"/>
      <c r="J1" s="14"/>
      <c r="K1" s="14"/>
      <c r="L1" s="14"/>
      <c r="M1" s="14"/>
      <c r="N1" s="14"/>
      <c r="O1" s="14"/>
      <c r="P1" s="14"/>
      <c r="Q1" s="14"/>
      <c r="R1" s="14"/>
      <c r="S1" s="85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M1" s="16"/>
    </row>
    <row r="2" spans="1:68" s="23" customFormat="1" ht="21.75" customHeight="1" x14ac:dyDescent="0.4">
      <c r="A2" s="192" t="s">
        <v>37</v>
      </c>
      <c r="B2" s="135" t="s">
        <v>38</v>
      </c>
      <c r="C2" s="139" t="s">
        <v>39</v>
      </c>
      <c r="D2" s="64" t="s">
        <v>40</v>
      </c>
      <c r="E2" s="18">
        <f>D1</f>
        <v>45931</v>
      </c>
      <c r="F2" s="19">
        <f>E2+1</f>
        <v>45932</v>
      </c>
      <c r="G2" s="19">
        <f t="shared" ref="G2:AI2" si="0">F2+1</f>
        <v>45933</v>
      </c>
      <c r="H2" s="19">
        <f t="shared" si="0"/>
        <v>45934</v>
      </c>
      <c r="I2" s="19">
        <f t="shared" si="0"/>
        <v>45935</v>
      </c>
      <c r="J2" s="19">
        <f t="shared" si="0"/>
        <v>45936</v>
      </c>
      <c r="K2" s="19">
        <f t="shared" si="0"/>
        <v>45937</v>
      </c>
      <c r="L2" s="19">
        <f t="shared" si="0"/>
        <v>45938</v>
      </c>
      <c r="M2" s="19">
        <f t="shared" si="0"/>
        <v>45939</v>
      </c>
      <c r="N2" s="19">
        <f t="shared" si="0"/>
        <v>45940</v>
      </c>
      <c r="O2" s="19">
        <f t="shared" si="0"/>
        <v>45941</v>
      </c>
      <c r="P2" s="19">
        <f t="shared" si="0"/>
        <v>45942</v>
      </c>
      <c r="Q2" s="19">
        <f t="shared" si="0"/>
        <v>45943</v>
      </c>
      <c r="R2" s="19">
        <f t="shared" si="0"/>
        <v>45944</v>
      </c>
      <c r="S2" s="18">
        <f t="shared" si="0"/>
        <v>45945</v>
      </c>
      <c r="T2" s="19">
        <f t="shared" si="0"/>
        <v>45946</v>
      </c>
      <c r="U2" s="19">
        <f t="shared" si="0"/>
        <v>45947</v>
      </c>
      <c r="V2" s="19">
        <f t="shared" si="0"/>
        <v>45948</v>
      </c>
      <c r="W2" s="19">
        <f t="shared" si="0"/>
        <v>45949</v>
      </c>
      <c r="X2" s="19">
        <f t="shared" si="0"/>
        <v>45950</v>
      </c>
      <c r="Y2" s="19">
        <f t="shared" si="0"/>
        <v>45951</v>
      </c>
      <c r="Z2" s="19">
        <f t="shared" si="0"/>
        <v>45952</v>
      </c>
      <c r="AA2" s="20">
        <f t="shared" si="0"/>
        <v>45953</v>
      </c>
      <c r="AB2" s="20">
        <f t="shared" si="0"/>
        <v>45954</v>
      </c>
      <c r="AC2" s="18">
        <f>AB2+1</f>
        <v>45955</v>
      </c>
      <c r="AD2" s="19">
        <f t="shared" si="0"/>
        <v>45956</v>
      </c>
      <c r="AE2" s="19">
        <f t="shared" si="0"/>
        <v>45957</v>
      </c>
      <c r="AF2" s="19">
        <f t="shared" si="0"/>
        <v>45958</v>
      </c>
      <c r="AG2" s="19">
        <f t="shared" si="0"/>
        <v>45959</v>
      </c>
      <c r="AH2" s="19">
        <f t="shared" si="0"/>
        <v>45960</v>
      </c>
      <c r="AI2" s="19">
        <f t="shared" si="0"/>
        <v>45961</v>
      </c>
      <c r="AJ2" s="141" t="s">
        <v>41</v>
      </c>
      <c r="AK2" s="145" t="s">
        <v>42</v>
      </c>
      <c r="AL2" s="147" t="s">
        <v>43</v>
      </c>
      <c r="AM2" s="149" t="s">
        <v>44</v>
      </c>
      <c r="AN2" s="151" t="s">
        <v>45</v>
      </c>
      <c r="AO2" s="153" t="s">
        <v>46</v>
      </c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</row>
    <row r="3" spans="1:68" s="24" customFormat="1" ht="18" thickBot="1" x14ac:dyDescent="0.45">
      <c r="A3" s="193"/>
      <c r="B3" s="136"/>
      <c r="C3" s="140"/>
      <c r="D3" s="65" t="s">
        <v>47</v>
      </c>
      <c r="E3" s="39">
        <f>E2</f>
        <v>45931</v>
      </c>
      <c r="F3" s="40">
        <f t="shared" ref="F3:AG3" si="1">F2</f>
        <v>45932</v>
      </c>
      <c r="G3" s="40">
        <f t="shared" si="1"/>
        <v>45933</v>
      </c>
      <c r="H3" s="40">
        <f t="shared" si="1"/>
        <v>45934</v>
      </c>
      <c r="I3" s="40">
        <f t="shared" si="1"/>
        <v>45935</v>
      </c>
      <c r="J3" s="40">
        <f t="shared" si="1"/>
        <v>45936</v>
      </c>
      <c r="K3" s="40">
        <f t="shared" si="1"/>
        <v>45937</v>
      </c>
      <c r="L3" s="40">
        <f t="shared" si="1"/>
        <v>45938</v>
      </c>
      <c r="M3" s="40">
        <f t="shared" si="1"/>
        <v>45939</v>
      </c>
      <c r="N3" s="40">
        <f t="shared" si="1"/>
        <v>45940</v>
      </c>
      <c r="O3" s="40">
        <f t="shared" si="1"/>
        <v>45941</v>
      </c>
      <c r="P3" s="40">
        <f t="shared" si="1"/>
        <v>45942</v>
      </c>
      <c r="Q3" s="40">
        <f t="shared" si="1"/>
        <v>45943</v>
      </c>
      <c r="R3" s="40">
        <f t="shared" si="1"/>
        <v>45944</v>
      </c>
      <c r="S3" s="39">
        <f t="shared" si="1"/>
        <v>45945</v>
      </c>
      <c r="T3" s="40">
        <f t="shared" si="1"/>
        <v>45946</v>
      </c>
      <c r="U3" s="40">
        <f t="shared" si="1"/>
        <v>45947</v>
      </c>
      <c r="V3" s="40">
        <f t="shared" si="1"/>
        <v>45948</v>
      </c>
      <c r="W3" s="40">
        <f t="shared" si="1"/>
        <v>45949</v>
      </c>
      <c r="X3" s="40">
        <f t="shared" si="1"/>
        <v>45950</v>
      </c>
      <c r="Y3" s="40">
        <f t="shared" si="1"/>
        <v>45951</v>
      </c>
      <c r="Z3" s="40">
        <f t="shared" si="1"/>
        <v>45952</v>
      </c>
      <c r="AA3" s="40">
        <f t="shared" si="1"/>
        <v>45953</v>
      </c>
      <c r="AB3" s="40">
        <f t="shared" si="1"/>
        <v>45954</v>
      </c>
      <c r="AC3" s="40">
        <f t="shared" si="1"/>
        <v>45955</v>
      </c>
      <c r="AD3" s="40">
        <f t="shared" si="1"/>
        <v>45956</v>
      </c>
      <c r="AE3" s="40">
        <f t="shared" si="1"/>
        <v>45957</v>
      </c>
      <c r="AF3" s="40">
        <f t="shared" si="1"/>
        <v>45958</v>
      </c>
      <c r="AG3" s="40">
        <f t="shared" si="1"/>
        <v>45959</v>
      </c>
      <c r="AH3" s="40">
        <f>AH2</f>
        <v>45960</v>
      </c>
      <c r="AI3" s="40">
        <f>AI2</f>
        <v>45961</v>
      </c>
      <c r="AJ3" s="142"/>
      <c r="AK3" s="146"/>
      <c r="AL3" s="148"/>
      <c r="AM3" s="150"/>
      <c r="AN3" s="152"/>
      <c r="AO3" s="154"/>
    </row>
    <row r="4" spans="1:68" ht="21.75" customHeight="1" thickBot="1" x14ac:dyDescent="0.45">
      <c r="A4" s="155" t="s">
        <v>48</v>
      </c>
      <c r="B4" s="259" t="s">
        <v>67</v>
      </c>
      <c r="C4" s="159" t="s">
        <v>50</v>
      </c>
      <c r="D4" s="33" t="s">
        <v>51</v>
      </c>
      <c r="E4" s="34" t="s">
        <v>350</v>
      </c>
      <c r="F4" s="91" t="s">
        <v>279</v>
      </c>
      <c r="G4" s="247" t="s">
        <v>575</v>
      </c>
      <c r="H4" s="248"/>
      <c r="I4" s="248"/>
      <c r="J4" s="248"/>
      <c r="K4" s="248"/>
      <c r="L4" s="248"/>
      <c r="M4" s="249"/>
      <c r="N4" s="34" t="s">
        <v>236</v>
      </c>
      <c r="O4" s="34" t="s">
        <v>70</v>
      </c>
      <c r="P4" s="34" t="s">
        <v>70</v>
      </c>
      <c r="Q4" s="34" t="s">
        <v>365</v>
      </c>
      <c r="R4" s="34" t="s">
        <v>318</v>
      </c>
      <c r="S4" s="34" t="s">
        <v>93</v>
      </c>
      <c r="T4" s="34" t="s">
        <v>462</v>
      </c>
      <c r="U4" s="34" t="s">
        <v>182</v>
      </c>
      <c r="V4" s="34" t="s">
        <v>70</v>
      </c>
      <c r="W4" s="34" t="s">
        <v>70</v>
      </c>
      <c r="X4" s="34" t="s">
        <v>182</v>
      </c>
      <c r="Y4" s="267" t="s">
        <v>574</v>
      </c>
      <c r="Z4" s="267" t="s">
        <v>574</v>
      </c>
      <c r="AA4" s="267" t="s">
        <v>574</v>
      </c>
      <c r="AB4" s="267" t="s">
        <v>574</v>
      </c>
      <c r="AC4" s="34" t="s">
        <v>70</v>
      </c>
      <c r="AD4" s="34" t="s">
        <v>70</v>
      </c>
      <c r="AE4" s="34" t="s">
        <v>462</v>
      </c>
      <c r="AF4" s="34" t="s">
        <v>445</v>
      </c>
      <c r="AG4" s="34" t="s">
        <v>124</v>
      </c>
      <c r="AH4" s="34" t="s">
        <v>318</v>
      </c>
      <c r="AI4" s="34" t="s">
        <v>365</v>
      </c>
      <c r="AJ4" s="160" t="s">
        <v>355</v>
      </c>
      <c r="AK4" s="265"/>
      <c r="AL4" s="255"/>
      <c r="AM4" s="258">
        <v>0.5</v>
      </c>
      <c r="AN4" s="254">
        <f>(E4+N4+Q4+R4+S4+T4+U4+X4+AE4+AF4+AG4+AH4+AI4)/13</f>
        <v>0.32179487179487176</v>
      </c>
      <c r="AO4" s="203">
        <f>(E5+N5+Q5+R5+S5+T5+U5+X5+AE5+AF5+AG5+AH5+AI5)/13</f>
        <v>0.79022435897435883</v>
      </c>
      <c r="AQ4" s="24"/>
    </row>
    <row r="5" spans="1:68" ht="21.75" customHeight="1" thickTop="1" thickBot="1" x14ac:dyDescent="0.45">
      <c r="A5" s="156"/>
      <c r="B5" s="186"/>
      <c r="C5" s="120"/>
      <c r="D5" s="25" t="s">
        <v>52</v>
      </c>
      <c r="E5" s="26" t="s">
        <v>91</v>
      </c>
      <c r="F5" s="26" t="s">
        <v>116</v>
      </c>
      <c r="G5" s="228"/>
      <c r="H5" s="229"/>
      <c r="I5" s="229"/>
      <c r="J5" s="229"/>
      <c r="K5" s="229"/>
      <c r="L5" s="229"/>
      <c r="M5" s="230"/>
      <c r="N5" s="26" t="s">
        <v>82</v>
      </c>
      <c r="O5" s="26" t="s">
        <v>70</v>
      </c>
      <c r="P5" s="26" t="s">
        <v>70</v>
      </c>
      <c r="Q5" s="26" t="s">
        <v>295</v>
      </c>
      <c r="R5" s="26" t="s">
        <v>294</v>
      </c>
      <c r="S5" s="26" t="s">
        <v>116</v>
      </c>
      <c r="T5" s="26" t="s">
        <v>89</v>
      </c>
      <c r="U5" s="26" t="s">
        <v>401</v>
      </c>
      <c r="V5" s="26" t="s">
        <v>70</v>
      </c>
      <c r="W5" s="26" t="s">
        <v>70</v>
      </c>
      <c r="X5" s="26" t="s">
        <v>116</v>
      </c>
      <c r="Y5" s="266"/>
      <c r="Z5" s="266"/>
      <c r="AA5" s="266"/>
      <c r="AB5" s="266"/>
      <c r="AC5" s="26" t="s">
        <v>70</v>
      </c>
      <c r="AD5" s="26" t="s">
        <v>70</v>
      </c>
      <c r="AE5" s="26" t="s">
        <v>86</v>
      </c>
      <c r="AF5" s="26" t="s">
        <v>116</v>
      </c>
      <c r="AG5" s="26" t="s">
        <v>117</v>
      </c>
      <c r="AH5" s="26" t="s">
        <v>147</v>
      </c>
      <c r="AI5" s="26" t="s">
        <v>87</v>
      </c>
      <c r="AJ5" s="127"/>
      <c r="AK5" s="162"/>
      <c r="AL5" s="194"/>
      <c r="AM5" s="195"/>
      <c r="AN5" s="111"/>
      <c r="AO5" s="181"/>
      <c r="AP5" s="28"/>
    </row>
    <row r="6" spans="1:68" ht="21.75" customHeight="1" thickTop="1" thickBot="1" x14ac:dyDescent="0.45">
      <c r="A6" s="156"/>
      <c r="B6" s="186" t="s">
        <v>49</v>
      </c>
      <c r="C6" s="120" t="s">
        <v>424</v>
      </c>
      <c r="D6" s="25" t="s">
        <v>51</v>
      </c>
      <c r="E6" s="26" t="s">
        <v>376</v>
      </c>
      <c r="F6" s="26" t="s">
        <v>100</v>
      </c>
      <c r="G6" s="225" t="s">
        <v>575</v>
      </c>
      <c r="H6" s="226"/>
      <c r="I6" s="226"/>
      <c r="J6" s="226"/>
      <c r="K6" s="226"/>
      <c r="L6" s="226"/>
      <c r="M6" s="227"/>
      <c r="N6" s="26" t="s">
        <v>109</v>
      </c>
      <c r="O6" s="26" t="s">
        <v>70</v>
      </c>
      <c r="P6" s="26" t="s">
        <v>70</v>
      </c>
      <c r="Q6" s="26" t="s">
        <v>74</v>
      </c>
      <c r="R6" s="26" t="s">
        <v>76</v>
      </c>
      <c r="S6" s="26" t="s">
        <v>73</v>
      </c>
      <c r="T6" s="26" t="s">
        <v>179</v>
      </c>
      <c r="U6" s="26" t="s">
        <v>74</v>
      </c>
      <c r="V6" s="26" t="s">
        <v>70</v>
      </c>
      <c r="W6" s="26" t="s">
        <v>70</v>
      </c>
      <c r="X6" s="26" t="s">
        <v>311</v>
      </c>
      <c r="Y6" s="266" t="s">
        <v>574</v>
      </c>
      <c r="Z6" s="266" t="s">
        <v>574</v>
      </c>
      <c r="AA6" s="266" t="s">
        <v>574</v>
      </c>
      <c r="AB6" s="266" t="s">
        <v>574</v>
      </c>
      <c r="AC6" s="26" t="s">
        <v>70</v>
      </c>
      <c r="AD6" s="26" t="s">
        <v>70</v>
      </c>
      <c r="AE6" s="26" t="s">
        <v>179</v>
      </c>
      <c r="AF6" s="26" t="s">
        <v>110</v>
      </c>
      <c r="AG6" s="26" t="s">
        <v>97</v>
      </c>
      <c r="AH6" s="26" t="s">
        <v>134</v>
      </c>
      <c r="AI6" s="266" t="s">
        <v>176</v>
      </c>
      <c r="AJ6" s="127"/>
      <c r="AK6" s="106"/>
      <c r="AL6" s="194" t="s">
        <v>280</v>
      </c>
      <c r="AM6" s="195">
        <v>1</v>
      </c>
      <c r="AN6" s="111">
        <f>(E6+F6+N6+Q6+R6+S6+T6+U6+X6+AE6+AF6+AG6+AH6)/13</f>
        <v>0.35587606837606833</v>
      </c>
      <c r="AO6" s="181">
        <f>(E7+N7+Q7+R7+S7+T7+U7+X7+AE7+AF7+AG7+AH7)/12</f>
        <v>0.80347222222222214</v>
      </c>
      <c r="AP6" s="28"/>
    </row>
    <row r="7" spans="1:68" ht="21.75" customHeight="1" thickTop="1" thickBot="1" x14ac:dyDescent="0.45">
      <c r="A7" s="156"/>
      <c r="B7" s="186"/>
      <c r="C7" s="120"/>
      <c r="D7" s="25" t="s">
        <v>52</v>
      </c>
      <c r="E7" s="26" t="s">
        <v>91</v>
      </c>
      <c r="F7" s="26" t="s">
        <v>572</v>
      </c>
      <c r="G7" s="228"/>
      <c r="H7" s="229"/>
      <c r="I7" s="229"/>
      <c r="J7" s="229"/>
      <c r="K7" s="229"/>
      <c r="L7" s="229"/>
      <c r="M7" s="230"/>
      <c r="N7" s="26" t="s">
        <v>327</v>
      </c>
      <c r="O7" s="26" t="s">
        <v>70</v>
      </c>
      <c r="P7" s="26" t="s">
        <v>70</v>
      </c>
      <c r="Q7" s="26" t="s">
        <v>289</v>
      </c>
      <c r="R7" s="26" t="s">
        <v>294</v>
      </c>
      <c r="S7" s="26" t="s">
        <v>116</v>
      </c>
      <c r="T7" s="26" t="s">
        <v>118</v>
      </c>
      <c r="U7" s="26" t="s">
        <v>401</v>
      </c>
      <c r="V7" s="26" t="s">
        <v>70</v>
      </c>
      <c r="W7" s="26" t="s">
        <v>70</v>
      </c>
      <c r="X7" s="26" t="s">
        <v>208</v>
      </c>
      <c r="Y7" s="266"/>
      <c r="Z7" s="266"/>
      <c r="AA7" s="266"/>
      <c r="AB7" s="266"/>
      <c r="AC7" s="26" t="s">
        <v>70</v>
      </c>
      <c r="AD7" s="26" t="s">
        <v>70</v>
      </c>
      <c r="AE7" s="26" t="s">
        <v>158</v>
      </c>
      <c r="AF7" s="26" t="s">
        <v>90</v>
      </c>
      <c r="AG7" s="26" t="s">
        <v>514</v>
      </c>
      <c r="AH7" s="26" t="s">
        <v>147</v>
      </c>
      <c r="AI7" s="266"/>
      <c r="AJ7" s="127"/>
      <c r="AK7" s="106"/>
      <c r="AL7" s="194"/>
      <c r="AM7" s="195"/>
      <c r="AN7" s="111"/>
      <c r="AO7" s="181"/>
      <c r="AP7" s="28"/>
    </row>
    <row r="8" spans="1:68" ht="21.75" customHeight="1" thickTop="1" thickBot="1" x14ac:dyDescent="0.45">
      <c r="A8" s="156"/>
      <c r="B8" s="186" t="s">
        <v>53</v>
      </c>
      <c r="C8" s="120" t="s">
        <v>54</v>
      </c>
      <c r="D8" s="25" t="s">
        <v>51</v>
      </c>
      <c r="E8" s="26" t="s">
        <v>161</v>
      </c>
      <c r="F8" s="26" t="s">
        <v>121</v>
      </c>
      <c r="G8" s="225" t="s">
        <v>575</v>
      </c>
      <c r="H8" s="226"/>
      <c r="I8" s="226"/>
      <c r="J8" s="226"/>
      <c r="K8" s="226"/>
      <c r="L8" s="226"/>
      <c r="M8" s="227"/>
      <c r="N8" s="26" t="s">
        <v>156</v>
      </c>
      <c r="O8" s="26" t="s">
        <v>70</v>
      </c>
      <c r="P8" s="26" t="s">
        <v>70</v>
      </c>
      <c r="Q8" s="26" t="s">
        <v>149</v>
      </c>
      <c r="R8" s="26" t="s">
        <v>160</v>
      </c>
      <c r="S8" s="26" t="s">
        <v>156</v>
      </c>
      <c r="T8" s="41" t="s">
        <v>279</v>
      </c>
      <c r="U8" s="26" t="s">
        <v>120</v>
      </c>
      <c r="V8" s="26" t="s">
        <v>70</v>
      </c>
      <c r="W8" s="26" t="s">
        <v>70</v>
      </c>
      <c r="X8" s="26" t="s">
        <v>149</v>
      </c>
      <c r="Y8" s="26" t="s">
        <v>160</v>
      </c>
      <c r="Z8" s="26" t="s">
        <v>161</v>
      </c>
      <c r="AA8" s="266" t="s">
        <v>574</v>
      </c>
      <c r="AB8" s="26" t="s">
        <v>156</v>
      </c>
      <c r="AC8" s="26" t="s">
        <v>70</v>
      </c>
      <c r="AD8" s="26" t="s">
        <v>70</v>
      </c>
      <c r="AE8" s="26" t="s">
        <v>79</v>
      </c>
      <c r="AF8" s="26" t="s">
        <v>156</v>
      </c>
      <c r="AG8" s="26" t="s">
        <v>156</v>
      </c>
      <c r="AH8" s="26" t="s">
        <v>156</v>
      </c>
      <c r="AI8" s="26" t="s">
        <v>162</v>
      </c>
      <c r="AJ8" s="112"/>
      <c r="AK8" s="106"/>
      <c r="AL8" s="194"/>
      <c r="AM8" s="195">
        <v>1</v>
      </c>
      <c r="AN8" s="111">
        <f>(E8+F8+N8+Q8+R8+S8+U8+X8+Y8+Z8+AB8+AE8+AF8+AG8+AH8+AI8)/16</f>
        <v>0.37187500000000001</v>
      </c>
      <c r="AO8" s="181">
        <f>(E9+N9+Q9+R9+S9+T9+U9+X9+Y9+AB9+AE9+AF9+AG9+AI9)/14</f>
        <v>0.76790674603174602</v>
      </c>
    </row>
    <row r="9" spans="1:68" ht="21.75" customHeight="1" thickTop="1" thickBot="1" x14ac:dyDescent="0.45">
      <c r="A9" s="156"/>
      <c r="B9" s="186"/>
      <c r="C9" s="120"/>
      <c r="D9" s="25" t="s">
        <v>52</v>
      </c>
      <c r="E9" s="26" t="s">
        <v>90</v>
      </c>
      <c r="F9" s="26" t="s">
        <v>568</v>
      </c>
      <c r="G9" s="228"/>
      <c r="H9" s="229"/>
      <c r="I9" s="229"/>
      <c r="J9" s="229"/>
      <c r="K9" s="229"/>
      <c r="L9" s="229"/>
      <c r="M9" s="230"/>
      <c r="N9" s="26" t="s">
        <v>240</v>
      </c>
      <c r="O9" s="26" t="s">
        <v>70</v>
      </c>
      <c r="P9" s="26" t="s">
        <v>70</v>
      </c>
      <c r="Q9" s="26" t="s">
        <v>89</v>
      </c>
      <c r="R9" s="26" t="s">
        <v>229</v>
      </c>
      <c r="S9" s="26" t="s">
        <v>101</v>
      </c>
      <c r="T9" s="26" t="s">
        <v>98</v>
      </c>
      <c r="U9" s="26" t="s">
        <v>91</v>
      </c>
      <c r="V9" s="26" t="s">
        <v>70</v>
      </c>
      <c r="W9" s="26" t="s">
        <v>70</v>
      </c>
      <c r="X9" s="26" t="s">
        <v>85</v>
      </c>
      <c r="Y9" s="26" t="s">
        <v>103</v>
      </c>
      <c r="Z9" s="26" t="s">
        <v>291</v>
      </c>
      <c r="AA9" s="266"/>
      <c r="AB9" s="26" t="s">
        <v>102</v>
      </c>
      <c r="AC9" s="26" t="s">
        <v>70</v>
      </c>
      <c r="AD9" s="26" t="s">
        <v>70</v>
      </c>
      <c r="AE9" s="26" t="s">
        <v>222</v>
      </c>
      <c r="AF9" s="26" t="s">
        <v>164</v>
      </c>
      <c r="AG9" s="26" t="s">
        <v>229</v>
      </c>
      <c r="AH9" s="41" t="s">
        <v>279</v>
      </c>
      <c r="AI9" s="26" t="s">
        <v>200</v>
      </c>
      <c r="AJ9" s="112"/>
      <c r="AK9" s="106"/>
      <c r="AL9" s="194"/>
      <c r="AM9" s="195"/>
      <c r="AN9" s="111"/>
      <c r="AO9" s="181"/>
    </row>
    <row r="10" spans="1:68" ht="21.75" customHeight="1" thickTop="1" thickBot="1" x14ac:dyDescent="0.45">
      <c r="A10" s="157"/>
      <c r="B10" s="186" t="s">
        <v>53</v>
      </c>
      <c r="C10" s="120" t="s">
        <v>243</v>
      </c>
      <c r="D10" s="25" t="s">
        <v>51</v>
      </c>
      <c r="E10" s="26" t="s">
        <v>75</v>
      </c>
      <c r="F10" s="26" t="s">
        <v>78</v>
      </c>
      <c r="G10" s="225" t="s">
        <v>575</v>
      </c>
      <c r="H10" s="226"/>
      <c r="I10" s="226"/>
      <c r="J10" s="226"/>
      <c r="K10" s="226"/>
      <c r="L10" s="226"/>
      <c r="M10" s="227"/>
      <c r="N10" s="266" t="s">
        <v>176</v>
      </c>
      <c r="O10" s="26" t="s">
        <v>70</v>
      </c>
      <c r="P10" s="26" t="s">
        <v>70</v>
      </c>
      <c r="Q10" s="26" t="s">
        <v>161</v>
      </c>
      <c r="R10" s="26" t="s">
        <v>99</v>
      </c>
      <c r="S10" s="26" t="s">
        <v>94</v>
      </c>
      <c r="T10" s="266" t="s">
        <v>176</v>
      </c>
      <c r="U10" s="266" t="s">
        <v>176</v>
      </c>
      <c r="V10" s="26" t="s">
        <v>70</v>
      </c>
      <c r="W10" s="26" t="s">
        <v>70</v>
      </c>
      <c r="X10" s="26" t="s">
        <v>78</v>
      </c>
      <c r="Y10" s="26" t="s">
        <v>97</v>
      </c>
      <c r="Z10" s="26" t="s">
        <v>77</v>
      </c>
      <c r="AA10" s="266" t="s">
        <v>574</v>
      </c>
      <c r="AB10" s="266" t="s">
        <v>574</v>
      </c>
      <c r="AC10" s="26" t="s">
        <v>70</v>
      </c>
      <c r="AD10" s="26" t="s">
        <v>70</v>
      </c>
      <c r="AE10" s="26" t="s">
        <v>72</v>
      </c>
      <c r="AF10" s="26" t="s">
        <v>94</v>
      </c>
      <c r="AG10" s="26" t="s">
        <v>97</v>
      </c>
      <c r="AH10" s="26" t="s">
        <v>97</v>
      </c>
      <c r="AI10" s="26" t="s">
        <v>93</v>
      </c>
      <c r="AJ10" s="194"/>
      <c r="AK10" s="106"/>
      <c r="AL10" s="194"/>
      <c r="AM10" s="200">
        <v>3.5</v>
      </c>
      <c r="AN10" s="111">
        <f>(E10+F10+Q10+R10+S10+X10+Y10+Z10+AE10+AF10+AG10+AH10+AI10)/13</f>
        <v>0.36009615384615379</v>
      </c>
      <c r="AO10" s="128">
        <f>(E11+Q11+R11+S11+X11+Y11+AE11+AF11+AG11+AI11)/10</f>
        <v>0.77229166666666671</v>
      </c>
    </row>
    <row r="11" spans="1:68" ht="21.75" customHeight="1" thickTop="1" thickBot="1" x14ac:dyDescent="0.45">
      <c r="A11" s="157"/>
      <c r="B11" s="186"/>
      <c r="C11" s="120"/>
      <c r="D11" s="25" t="s">
        <v>52</v>
      </c>
      <c r="E11" s="26" t="s">
        <v>85</v>
      </c>
      <c r="F11" s="26" t="s">
        <v>572</v>
      </c>
      <c r="G11" s="228"/>
      <c r="H11" s="229"/>
      <c r="I11" s="229"/>
      <c r="J11" s="229"/>
      <c r="K11" s="229"/>
      <c r="L11" s="229"/>
      <c r="M11" s="230"/>
      <c r="N11" s="266"/>
      <c r="O11" s="26" t="s">
        <v>70</v>
      </c>
      <c r="P11" s="26" t="s">
        <v>70</v>
      </c>
      <c r="Q11" s="26" t="s">
        <v>91</v>
      </c>
      <c r="R11" s="26" t="s">
        <v>80</v>
      </c>
      <c r="S11" s="26" t="s">
        <v>88</v>
      </c>
      <c r="T11" s="266"/>
      <c r="U11" s="266"/>
      <c r="V11" s="26" t="s">
        <v>70</v>
      </c>
      <c r="W11" s="26" t="s">
        <v>70</v>
      </c>
      <c r="X11" s="26" t="s">
        <v>88</v>
      </c>
      <c r="Y11" s="26" t="s">
        <v>85</v>
      </c>
      <c r="Z11" s="26" t="s">
        <v>88</v>
      </c>
      <c r="AA11" s="266"/>
      <c r="AB11" s="266"/>
      <c r="AC11" s="26" t="s">
        <v>70</v>
      </c>
      <c r="AD11" s="26" t="s">
        <v>70</v>
      </c>
      <c r="AE11" s="26" t="s">
        <v>312</v>
      </c>
      <c r="AF11" s="26" t="s">
        <v>80</v>
      </c>
      <c r="AG11" s="26" t="s">
        <v>88</v>
      </c>
      <c r="AH11" s="41" t="s">
        <v>279</v>
      </c>
      <c r="AI11" s="26" t="s">
        <v>88</v>
      </c>
      <c r="AJ11" s="194"/>
      <c r="AK11" s="106"/>
      <c r="AL11" s="194"/>
      <c r="AM11" s="200"/>
      <c r="AN11" s="111"/>
      <c r="AO11" s="105"/>
    </row>
    <row r="12" spans="1:68" ht="21.75" customHeight="1" thickTop="1" thickBot="1" x14ac:dyDescent="0.45">
      <c r="A12" s="157"/>
      <c r="B12" s="186" t="s">
        <v>56</v>
      </c>
      <c r="C12" s="120" t="s">
        <v>177</v>
      </c>
      <c r="D12" s="25" t="s">
        <v>51</v>
      </c>
      <c r="E12" s="26" t="s">
        <v>111</v>
      </c>
      <c r="F12" s="26" t="s">
        <v>111</v>
      </c>
      <c r="G12" s="225" t="s">
        <v>575</v>
      </c>
      <c r="H12" s="226"/>
      <c r="I12" s="226"/>
      <c r="J12" s="226"/>
      <c r="K12" s="226"/>
      <c r="L12" s="226"/>
      <c r="M12" s="227"/>
      <c r="N12" s="26" t="s">
        <v>111</v>
      </c>
      <c r="O12" s="26" t="s">
        <v>70</v>
      </c>
      <c r="P12" s="26" t="s">
        <v>70</v>
      </c>
      <c r="Q12" s="26" t="s">
        <v>196</v>
      </c>
      <c r="R12" s="26" t="s">
        <v>111</v>
      </c>
      <c r="S12" s="26" t="s">
        <v>111</v>
      </c>
      <c r="T12" s="26" t="s">
        <v>111</v>
      </c>
      <c r="U12" s="26" t="s">
        <v>317</v>
      </c>
      <c r="V12" s="26" t="s">
        <v>70</v>
      </c>
      <c r="W12" s="26" t="s">
        <v>70</v>
      </c>
      <c r="X12" s="26" t="s">
        <v>111</v>
      </c>
      <c r="Y12" s="26" t="s">
        <v>111</v>
      </c>
      <c r="Z12" s="26" t="s">
        <v>111</v>
      </c>
      <c r="AA12" s="266" t="s">
        <v>574</v>
      </c>
      <c r="AB12" s="26" t="s">
        <v>111</v>
      </c>
      <c r="AC12" s="26" t="s">
        <v>70</v>
      </c>
      <c r="AD12" s="26" t="s">
        <v>70</v>
      </c>
      <c r="AE12" s="26" t="s">
        <v>111</v>
      </c>
      <c r="AF12" s="26" t="s">
        <v>317</v>
      </c>
      <c r="AG12" s="26" t="s">
        <v>111</v>
      </c>
      <c r="AH12" s="26" t="s">
        <v>111</v>
      </c>
      <c r="AI12" s="26" t="s">
        <v>196</v>
      </c>
      <c r="AJ12" s="194" t="s">
        <v>497</v>
      </c>
      <c r="AK12" s="106"/>
      <c r="AL12" s="194" t="s">
        <v>282</v>
      </c>
      <c r="AM12" s="200"/>
      <c r="AN12" s="170">
        <f>(E12+F12+N12+Q12+R12+S12+T12+U12+X12+Y12+Z12+AB12+AE12+AF12+AG12+AH12+AI12)/17</f>
        <v>0.32655228758169935</v>
      </c>
      <c r="AO12" s="181">
        <f>(E13+N13+Q13+R13+S13+T13+U13+X13+Y13+AB13+AE13+AF13+AG13+AH13+AI13)/15</f>
        <v>0.78393518518518523</v>
      </c>
    </row>
    <row r="13" spans="1:68" ht="21.75" customHeight="1" thickTop="1" thickBot="1" x14ac:dyDescent="0.45">
      <c r="A13" s="158"/>
      <c r="B13" s="186"/>
      <c r="C13" s="120"/>
      <c r="D13" s="25" t="s">
        <v>52</v>
      </c>
      <c r="E13" s="26" t="s">
        <v>91</v>
      </c>
      <c r="F13" s="26" t="s">
        <v>570</v>
      </c>
      <c r="G13" s="228"/>
      <c r="H13" s="229"/>
      <c r="I13" s="229"/>
      <c r="J13" s="229"/>
      <c r="K13" s="229"/>
      <c r="L13" s="229"/>
      <c r="M13" s="230"/>
      <c r="N13" s="26" t="s">
        <v>80</v>
      </c>
      <c r="O13" s="26" t="s">
        <v>70</v>
      </c>
      <c r="P13" s="26" t="s">
        <v>70</v>
      </c>
      <c r="Q13" s="26" t="s">
        <v>102</v>
      </c>
      <c r="R13" s="26" t="s">
        <v>83</v>
      </c>
      <c r="S13" s="26" t="s">
        <v>83</v>
      </c>
      <c r="T13" s="26" t="s">
        <v>98</v>
      </c>
      <c r="U13" s="26" t="s">
        <v>85</v>
      </c>
      <c r="V13" s="26" t="s">
        <v>70</v>
      </c>
      <c r="W13" s="26" t="s">
        <v>70</v>
      </c>
      <c r="X13" s="26" t="s">
        <v>102</v>
      </c>
      <c r="Y13" s="26" t="s">
        <v>85</v>
      </c>
      <c r="Z13" s="26" t="s">
        <v>291</v>
      </c>
      <c r="AA13" s="266"/>
      <c r="AB13" s="26" t="s">
        <v>314</v>
      </c>
      <c r="AC13" s="26" t="s">
        <v>70</v>
      </c>
      <c r="AD13" s="26" t="s">
        <v>70</v>
      </c>
      <c r="AE13" s="26" t="s">
        <v>452</v>
      </c>
      <c r="AF13" s="26" t="s">
        <v>86</v>
      </c>
      <c r="AG13" s="26" t="s">
        <v>91</v>
      </c>
      <c r="AH13" s="26" t="s">
        <v>86</v>
      </c>
      <c r="AI13" s="26" t="s">
        <v>80</v>
      </c>
      <c r="AJ13" s="194"/>
      <c r="AK13" s="106"/>
      <c r="AL13" s="194"/>
      <c r="AM13" s="200"/>
      <c r="AN13" s="183"/>
      <c r="AO13" s="181"/>
    </row>
    <row r="14" spans="1:68" ht="21.75" customHeight="1" x14ac:dyDescent="0.4">
      <c r="A14" s="30"/>
      <c r="B14" s="186" t="s">
        <v>56</v>
      </c>
      <c r="C14" s="120" t="s">
        <v>57</v>
      </c>
      <c r="D14" s="25" t="s">
        <v>51</v>
      </c>
      <c r="E14" s="26" t="s">
        <v>122</v>
      </c>
      <c r="F14" s="26" t="s">
        <v>122</v>
      </c>
      <c r="G14" s="225" t="s">
        <v>575</v>
      </c>
      <c r="H14" s="226"/>
      <c r="I14" s="226"/>
      <c r="J14" s="226"/>
      <c r="K14" s="226"/>
      <c r="L14" s="226"/>
      <c r="M14" s="227"/>
      <c r="N14" s="26" t="s">
        <v>160</v>
      </c>
      <c r="O14" s="26" t="s">
        <v>70</v>
      </c>
      <c r="P14" s="26" t="s">
        <v>70</v>
      </c>
      <c r="Q14" s="26" t="s">
        <v>71</v>
      </c>
      <c r="R14" s="26" t="s">
        <v>71</v>
      </c>
      <c r="S14" s="26" t="s">
        <v>160</v>
      </c>
      <c r="T14" s="266" t="s">
        <v>176</v>
      </c>
      <c r="U14" s="26" t="s">
        <v>149</v>
      </c>
      <c r="V14" s="26" t="s">
        <v>70</v>
      </c>
      <c r="W14" s="26" t="s">
        <v>70</v>
      </c>
      <c r="X14" s="26" t="s">
        <v>156</v>
      </c>
      <c r="Y14" s="266" t="s">
        <v>463</v>
      </c>
      <c r="Z14" s="266" t="s">
        <v>574</v>
      </c>
      <c r="AA14" s="266" t="s">
        <v>574</v>
      </c>
      <c r="AB14" s="266" t="s">
        <v>574</v>
      </c>
      <c r="AC14" s="26" t="s">
        <v>70</v>
      </c>
      <c r="AD14" s="26" t="s">
        <v>70</v>
      </c>
      <c r="AE14" s="26" t="s">
        <v>160</v>
      </c>
      <c r="AF14" s="26" t="s">
        <v>160</v>
      </c>
      <c r="AG14" s="26" t="s">
        <v>160</v>
      </c>
      <c r="AH14" s="26" t="s">
        <v>160</v>
      </c>
      <c r="AI14" s="26" t="s">
        <v>160</v>
      </c>
      <c r="AJ14" s="194"/>
      <c r="AK14" s="106"/>
      <c r="AL14" s="194"/>
      <c r="AM14" s="200">
        <v>1</v>
      </c>
      <c r="AN14" s="170">
        <f>(E14+F14+N14+Q14+R14+S14+U14+X14+AE14+AF14+AG14+AH14+AI14)/13</f>
        <v>0.37206196581196582</v>
      </c>
      <c r="AO14" s="128">
        <f>(E15+N15+Q15+R15+S15+U15+X15+AE15+AF15+AG15+AH15+AI15)/12</f>
        <v>0.77893518518518523</v>
      </c>
    </row>
    <row r="15" spans="1:68" ht="21.75" customHeight="1" x14ac:dyDescent="0.4">
      <c r="A15" s="30"/>
      <c r="B15" s="186"/>
      <c r="C15" s="120"/>
      <c r="D15" s="25" t="s">
        <v>52</v>
      </c>
      <c r="E15" s="26" t="s">
        <v>80</v>
      </c>
      <c r="F15" s="26" t="s">
        <v>570</v>
      </c>
      <c r="G15" s="228"/>
      <c r="H15" s="229"/>
      <c r="I15" s="229"/>
      <c r="J15" s="229"/>
      <c r="K15" s="229"/>
      <c r="L15" s="229"/>
      <c r="M15" s="230"/>
      <c r="N15" s="26" t="s">
        <v>80</v>
      </c>
      <c r="O15" s="26" t="s">
        <v>70</v>
      </c>
      <c r="P15" s="26" t="s">
        <v>70</v>
      </c>
      <c r="Q15" s="26" t="s">
        <v>102</v>
      </c>
      <c r="R15" s="26" t="s">
        <v>83</v>
      </c>
      <c r="S15" s="26" t="s">
        <v>83</v>
      </c>
      <c r="T15" s="266"/>
      <c r="U15" s="26" t="s">
        <v>80</v>
      </c>
      <c r="V15" s="26" t="s">
        <v>70</v>
      </c>
      <c r="W15" s="26" t="s">
        <v>70</v>
      </c>
      <c r="X15" s="26" t="s">
        <v>102</v>
      </c>
      <c r="Y15" s="266"/>
      <c r="Z15" s="266"/>
      <c r="AA15" s="266"/>
      <c r="AB15" s="266"/>
      <c r="AC15" s="26" t="s">
        <v>70</v>
      </c>
      <c r="AD15" s="26" t="s">
        <v>70</v>
      </c>
      <c r="AE15" s="26" t="s">
        <v>452</v>
      </c>
      <c r="AF15" s="26" t="s">
        <v>86</v>
      </c>
      <c r="AG15" s="26" t="s">
        <v>91</v>
      </c>
      <c r="AH15" s="26" t="s">
        <v>86</v>
      </c>
      <c r="AI15" s="26" t="s">
        <v>80</v>
      </c>
      <c r="AJ15" s="194"/>
      <c r="AK15" s="106"/>
      <c r="AL15" s="194"/>
      <c r="AM15" s="200"/>
      <c r="AN15" s="183"/>
      <c r="AO15" s="105"/>
    </row>
    <row r="16" spans="1:68" ht="21.75" customHeight="1" x14ac:dyDescent="0.4">
      <c r="A16" s="30"/>
      <c r="B16" s="118" t="s">
        <v>56</v>
      </c>
      <c r="C16" s="120" t="s">
        <v>426</v>
      </c>
      <c r="D16" s="25" t="s">
        <v>51</v>
      </c>
      <c r="E16" s="26" t="s">
        <v>79</v>
      </c>
      <c r="F16" s="26" t="s">
        <v>135</v>
      </c>
      <c r="G16" s="126" t="s">
        <v>575</v>
      </c>
      <c r="H16" s="126"/>
      <c r="I16" s="126"/>
      <c r="J16" s="126"/>
      <c r="K16" s="126"/>
      <c r="L16" s="126"/>
      <c r="M16" s="126"/>
      <c r="N16" s="26" t="s">
        <v>73</v>
      </c>
      <c r="O16" s="26" t="s">
        <v>70</v>
      </c>
      <c r="P16" s="26" t="s">
        <v>70</v>
      </c>
      <c r="Q16" s="26" t="s">
        <v>75</v>
      </c>
      <c r="R16" s="26" t="s">
        <v>121</v>
      </c>
      <c r="S16" s="26" t="s">
        <v>79</v>
      </c>
      <c r="T16" s="26" t="s">
        <v>79</v>
      </c>
      <c r="U16" s="26" t="s">
        <v>79</v>
      </c>
      <c r="V16" s="26" t="s">
        <v>70</v>
      </c>
      <c r="W16" s="26" t="s">
        <v>70</v>
      </c>
      <c r="X16" s="26" t="s">
        <v>122</v>
      </c>
      <c r="Y16" s="26" t="s">
        <v>152</v>
      </c>
      <c r="Z16" s="26" t="s">
        <v>135</v>
      </c>
      <c r="AA16" s="26" t="s">
        <v>135</v>
      </c>
      <c r="AB16" s="26" t="s">
        <v>161</v>
      </c>
      <c r="AC16" s="26" t="s">
        <v>70</v>
      </c>
      <c r="AD16" s="26" t="s">
        <v>70</v>
      </c>
      <c r="AE16" s="26" t="s">
        <v>161</v>
      </c>
      <c r="AF16" s="26" t="s">
        <v>160</v>
      </c>
      <c r="AG16" s="266" t="s">
        <v>176</v>
      </c>
      <c r="AH16" s="26" t="s">
        <v>71</v>
      </c>
      <c r="AI16" s="26" t="s">
        <v>161</v>
      </c>
      <c r="AJ16" s="194"/>
      <c r="AK16" s="106"/>
      <c r="AL16" s="194"/>
      <c r="AM16" s="200">
        <v>2</v>
      </c>
      <c r="AN16" s="170">
        <f>(E16+F16+N16+Q16+R16+S16+T16+U16+X16+Y16+Z16+AA16+AB16+AE16+AF16+AH16+AI16)/17</f>
        <v>0.36997549019607845</v>
      </c>
      <c r="AO16" s="105">
        <f>(E17+N17+Q17+R17+T17+U17+X17+Y17+AA17+AB17+AE17+AH17+AI17)/13</f>
        <v>0.77377136752136755</v>
      </c>
    </row>
    <row r="17" spans="1:41" ht="21.75" customHeight="1" x14ac:dyDescent="0.4">
      <c r="A17" s="30"/>
      <c r="B17" s="118"/>
      <c r="C17" s="120"/>
      <c r="D17" s="25" t="s">
        <v>52</v>
      </c>
      <c r="E17" s="26" t="s">
        <v>91</v>
      </c>
      <c r="F17" s="26" t="s">
        <v>569</v>
      </c>
      <c r="G17" s="126"/>
      <c r="H17" s="126"/>
      <c r="I17" s="126"/>
      <c r="J17" s="126"/>
      <c r="K17" s="126"/>
      <c r="L17" s="126"/>
      <c r="M17" s="126"/>
      <c r="N17" s="26" t="s">
        <v>312</v>
      </c>
      <c r="O17" s="26" t="s">
        <v>70</v>
      </c>
      <c r="P17" s="26" t="s">
        <v>70</v>
      </c>
      <c r="Q17" s="26" t="s">
        <v>88</v>
      </c>
      <c r="R17" s="26" t="s">
        <v>89</v>
      </c>
      <c r="S17" s="41" t="s">
        <v>279</v>
      </c>
      <c r="T17" s="26" t="s">
        <v>153</v>
      </c>
      <c r="U17" s="26" t="s">
        <v>312</v>
      </c>
      <c r="V17" s="26" t="s">
        <v>70</v>
      </c>
      <c r="W17" s="26" t="s">
        <v>70</v>
      </c>
      <c r="X17" s="26" t="s">
        <v>88</v>
      </c>
      <c r="Y17" s="26" t="s">
        <v>312</v>
      </c>
      <c r="Z17" s="26" t="s">
        <v>541</v>
      </c>
      <c r="AA17" s="26" t="s">
        <v>312</v>
      </c>
      <c r="AB17" s="26" t="s">
        <v>312</v>
      </c>
      <c r="AC17" s="26" t="s">
        <v>70</v>
      </c>
      <c r="AD17" s="26" t="s">
        <v>70</v>
      </c>
      <c r="AE17" s="26" t="s">
        <v>312</v>
      </c>
      <c r="AF17" s="41" t="s">
        <v>279</v>
      </c>
      <c r="AG17" s="266"/>
      <c r="AH17" s="26" t="s">
        <v>85</v>
      </c>
      <c r="AI17" s="26" t="s">
        <v>312</v>
      </c>
      <c r="AJ17" s="194"/>
      <c r="AK17" s="106"/>
      <c r="AL17" s="194"/>
      <c r="AM17" s="200"/>
      <c r="AN17" s="183"/>
      <c r="AO17" s="181"/>
    </row>
    <row r="18" spans="1:41" ht="21.75" customHeight="1" x14ac:dyDescent="0.4">
      <c r="A18" s="30"/>
      <c r="B18" s="190" t="s">
        <v>56</v>
      </c>
      <c r="C18" s="159" t="s">
        <v>576</v>
      </c>
      <c r="D18" s="25" t="s">
        <v>51</v>
      </c>
      <c r="E18" s="206"/>
      <c r="F18" s="207"/>
      <c r="G18" s="207"/>
      <c r="H18" s="207"/>
      <c r="I18" s="207"/>
      <c r="J18" s="207"/>
      <c r="K18" s="207"/>
      <c r="L18" s="207"/>
      <c r="M18" s="207"/>
      <c r="N18" s="207"/>
      <c r="O18" s="207"/>
      <c r="P18" s="208"/>
      <c r="Q18" s="26" t="s">
        <v>142</v>
      </c>
      <c r="R18" s="26" t="s">
        <v>124</v>
      </c>
      <c r="S18" s="26" t="s">
        <v>77</v>
      </c>
      <c r="T18" s="26" t="s">
        <v>73</v>
      </c>
      <c r="U18" s="26" t="s">
        <v>77</v>
      </c>
      <c r="V18" s="26"/>
      <c r="W18" s="26"/>
      <c r="X18" s="26" t="s">
        <v>124</v>
      </c>
      <c r="Y18" s="266" t="s">
        <v>574</v>
      </c>
      <c r="Z18" s="266" t="s">
        <v>574</v>
      </c>
      <c r="AA18" s="266" t="s">
        <v>574</v>
      </c>
      <c r="AB18" s="266" t="s">
        <v>574</v>
      </c>
      <c r="AC18" s="26"/>
      <c r="AD18" s="26"/>
      <c r="AE18" s="26" t="s">
        <v>77</v>
      </c>
      <c r="AF18" s="26" t="s">
        <v>124</v>
      </c>
      <c r="AG18" s="26" t="s">
        <v>124</v>
      </c>
      <c r="AH18" s="26" t="s">
        <v>142</v>
      </c>
      <c r="AI18" s="26" t="s">
        <v>77</v>
      </c>
      <c r="AJ18" s="194"/>
      <c r="AK18" s="106"/>
      <c r="AL18" s="108"/>
      <c r="AM18" s="103"/>
      <c r="AN18" s="170">
        <f>(Q18+R18+S18+T18+U18+X18+AE18+AF18+AG18+AH18+AI18)/11</f>
        <v>0.35233585858585853</v>
      </c>
      <c r="AO18" s="105">
        <f>(Q19+R19+S19+T19+U19+X19+AE19+AF19+AG19+AH19+AI19)/11</f>
        <v>0.77405303030303041</v>
      </c>
    </row>
    <row r="19" spans="1:41" ht="21.75" customHeight="1" thickBot="1" x14ac:dyDescent="0.45">
      <c r="A19" s="30"/>
      <c r="B19" s="187"/>
      <c r="C19" s="121"/>
      <c r="D19" s="31" t="s">
        <v>52</v>
      </c>
      <c r="E19" s="212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4"/>
      <c r="Q19" s="32" t="s">
        <v>88</v>
      </c>
      <c r="R19" s="32" t="s">
        <v>88</v>
      </c>
      <c r="S19" s="32" t="s">
        <v>102</v>
      </c>
      <c r="T19" s="32" t="s">
        <v>85</v>
      </c>
      <c r="U19" s="32" t="s">
        <v>83</v>
      </c>
      <c r="V19" s="32"/>
      <c r="W19" s="32"/>
      <c r="X19" s="32" t="s">
        <v>102</v>
      </c>
      <c r="Y19" s="268"/>
      <c r="Z19" s="268"/>
      <c r="AA19" s="268"/>
      <c r="AB19" s="268"/>
      <c r="AC19" s="32"/>
      <c r="AD19" s="32"/>
      <c r="AE19" s="32" t="s">
        <v>83</v>
      </c>
      <c r="AF19" s="32" t="s">
        <v>102</v>
      </c>
      <c r="AG19" s="32" t="s">
        <v>102</v>
      </c>
      <c r="AH19" s="32" t="s">
        <v>85</v>
      </c>
      <c r="AI19" s="32" t="s">
        <v>88</v>
      </c>
      <c r="AJ19" s="196"/>
      <c r="AK19" s="167"/>
      <c r="AL19" s="196"/>
      <c r="AM19" s="200"/>
      <c r="AN19" s="183"/>
      <c r="AO19" s="181"/>
    </row>
    <row r="20" spans="1:41" ht="21.75" customHeight="1" x14ac:dyDescent="0.4">
      <c r="A20" s="115" t="s">
        <v>58</v>
      </c>
      <c r="B20" s="190" t="s">
        <v>59</v>
      </c>
      <c r="C20" s="159" t="s">
        <v>60</v>
      </c>
      <c r="D20" s="33" t="s">
        <v>51</v>
      </c>
      <c r="E20" s="34" t="s">
        <v>125</v>
      </c>
      <c r="F20" s="34" t="s">
        <v>477</v>
      </c>
      <c r="G20" s="247" t="s">
        <v>575</v>
      </c>
      <c r="H20" s="248"/>
      <c r="I20" s="248"/>
      <c r="J20" s="248"/>
      <c r="K20" s="248"/>
      <c r="L20" s="248"/>
      <c r="M20" s="249"/>
      <c r="N20" s="34" t="s">
        <v>381</v>
      </c>
      <c r="O20" s="34" t="s">
        <v>70</v>
      </c>
      <c r="P20" s="34" t="s">
        <v>70</v>
      </c>
      <c r="Q20" s="34" t="s">
        <v>325</v>
      </c>
      <c r="R20" s="34" t="s">
        <v>372</v>
      </c>
      <c r="S20" s="34" t="s">
        <v>182</v>
      </c>
      <c r="T20" s="34" t="s">
        <v>125</v>
      </c>
      <c r="U20" s="34" t="s">
        <v>317</v>
      </c>
      <c r="V20" s="34" t="s">
        <v>70</v>
      </c>
      <c r="W20" s="34" t="s">
        <v>70</v>
      </c>
      <c r="X20" s="34" t="s">
        <v>261</v>
      </c>
      <c r="Y20" s="34" t="s">
        <v>108</v>
      </c>
      <c r="Z20" s="267" t="s">
        <v>574</v>
      </c>
      <c r="AA20" s="34" t="s">
        <v>125</v>
      </c>
      <c r="AB20" s="34" t="s">
        <v>477</v>
      </c>
      <c r="AC20" s="34" t="s">
        <v>70</v>
      </c>
      <c r="AD20" s="34" t="s">
        <v>70</v>
      </c>
      <c r="AE20" s="34" t="s">
        <v>233</v>
      </c>
      <c r="AF20" s="34" t="s">
        <v>138</v>
      </c>
      <c r="AG20" s="34" t="s">
        <v>462</v>
      </c>
      <c r="AH20" s="34" t="s">
        <v>207</v>
      </c>
      <c r="AI20" s="34" t="s">
        <v>125</v>
      </c>
      <c r="AJ20" s="160" t="s">
        <v>527</v>
      </c>
      <c r="AK20" s="166"/>
      <c r="AL20" s="108" t="s">
        <v>282</v>
      </c>
      <c r="AM20" s="256"/>
      <c r="AN20" s="257">
        <f>(N20+Q20+R20+S20+T20+U20+X20+Y20+AA20+AB20+AE20+AF20+AG20+AH20+AI20)/15</f>
        <v>0.3162962962962963</v>
      </c>
      <c r="AO20" s="263">
        <f>(N21+Q21+R21+S21+T21+U21+X21+Y21+AA21+AB21+AE21+AF21+AG21+AH21+AI21)/15</f>
        <v>0.80268518518518506</v>
      </c>
    </row>
    <row r="21" spans="1:41" ht="21.75" customHeight="1" x14ac:dyDescent="0.4">
      <c r="A21" s="116"/>
      <c r="B21" s="186"/>
      <c r="C21" s="120"/>
      <c r="D21" s="25" t="s">
        <v>52</v>
      </c>
      <c r="E21" s="26" t="s">
        <v>338</v>
      </c>
      <c r="F21" s="26" t="s">
        <v>169</v>
      </c>
      <c r="G21" s="228"/>
      <c r="H21" s="229"/>
      <c r="I21" s="229"/>
      <c r="J21" s="229"/>
      <c r="K21" s="229"/>
      <c r="L21" s="229"/>
      <c r="M21" s="230"/>
      <c r="N21" s="26" t="s">
        <v>338</v>
      </c>
      <c r="O21" s="26" t="s">
        <v>70</v>
      </c>
      <c r="P21" s="26" t="s">
        <v>70</v>
      </c>
      <c r="Q21" s="26" t="s">
        <v>306</v>
      </c>
      <c r="R21" s="26" t="s">
        <v>338</v>
      </c>
      <c r="S21" s="26" t="s">
        <v>201</v>
      </c>
      <c r="T21" s="26" t="s">
        <v>116</v>
      </c>
      <c r="U21" s="26" t="s">
        <v>186</v>
      </c>
      <c r="V21" s="26" t="s">
        <v>70</v>
      </c>
      <c r="W21" s="26" t="s">
        <v>70</v>
      </c>
      <c r="X21" s="26" t="s">
        <v>334</v>
      </c>
      <c r="Y21" s="26" t="s">
        <v>170</v>
      </c>
      <c r="Z21" s="266"/>
      <c r="AA21" s="26" t="s">
        <v>144</v>
      </c>
      <c r="AB21" s="26" t="s">
        <v>208</v>
      </c>
      <c r="AC21" s="26" t="s">
        <v>70</v>
      </c>
      <c r="AD21" s="26" t="s">
        <v>70</v>
      </c>
      <c r="AE21" s="26" t="s">
        <v>327</v>
      </c>
      <c r="AF21" s="26" t="s">
        <v>146</v>
      </c>
      <c r="AG21" s="26" t="s">
        <v>165</v>
      </c>
      <c r="AH21" s="26" t="s">
        <v>338</v>
      </c>
      <c r="AI21" s="26" t="s">
        <v>185</v>
      </c>
      <c r="AJ21" s="127"/>
      <c r="AK21" s="106"/>
      <c r="AL21" s="194"/>
      <c r="AM21" s="200"/>
      <c r="AN21" s="183"/>
      <c r="AO21" s="105"/>
    </row>
    <row r="22" spans="1:41" ht="21.75" customHeight="1" x14ac:dyDescent="0.4">
      <c r="A22" s="116"/>
      <c r="B22" s="186" t="s">
        <v>53</v>
      </c>
      <c r="C22" s="120" t="s">
        <v>61</v>
      </c>
      <c r="D22" s="25" t="s">
        <v>51</v>
      </c>
      <c r="E22" s="26" t="s">
        <v>135</v>
      </c>
      <c r="F22" s="266" t="s">
        <v>176</v>
      </c>
      <c r="G22" s="225" t="s">
        <v>575</v>
      </c>
      <c r="H22" s="226"/>
      <c r="I22" s="226"/>
      <c r="J22" s="226"/>
      <c r="K22" s="226"/>
      <c r="L22" s="226"/>
      <c r="M22" s="227"/>
      <c r="N22" s="266" t="s">
        <v>176</v>
      </c>
      <c r="O22" s="26" t="s">
        <v>70</v>
      </c>
      <c r="P22" s="26" t="s">
        <v>70</v>
      </c>
      <c r="Q22" s="26" t="s">
        <v>77</v>
      </c>
      <c r="R22" s="26" t="s">
        <v>94</v>
      </c>
      <c r="S22" s="26" t="s">
        <v>93</v>
      </c>
      <c r="T22" s="26" t="s">
        <v>97</v>
      </c>
      <c r="U22" s="26" t="s">
        <v>119</v>
      </c>
      <c r="V22" s="26" t="s">
        <v>70</v>
      </c>
      <c r="W22" s="26" t="s">
        <v>70</v>
      </c>
      <c r="X22" s="29" t="s">
        <v>232</v>
      </c>
      <c r="Y22" s="26" t="s">
        <v>76</v>
      </c>
      <c r="Z22" s="29" t="s">
        <v>232</v>
      </c>
      <c r="AA22" s="26" t="s">
        <v>143</v>
      </c>
      <c r="AB22" s="26" t="s">
        <v>68</v>
      </c>
      <c r="AC22" s="26" t="s">
        <v>70</v>
      </c>
      <c r="AD22" s="26" t="s">
        <v>70</v>
      </c>
      <c r="AE22" s="26" t="s">
        <v>94</v>
      </c>
      <c r="AF22" s="26" t="s">
        <v>179</v>
      </c>
      <c r="AG22" s="29" t="s">
        <v>447</v>
      </c>
      <c r="AH22" s="26" t="s">
        <v>136</v>
      </c>
      <c r="AI22" s="26" t="s">
        <v>432</v>
      </c>
      <c r="AJ22" s="127"/>
      <c r="AK22" s="106" t="s">
        <v>284</v>
      </c>
      <c r="AL22" s="194" t="s">
        <v>282</v>
      </c>
      <c r="AM22" s="195">
        <v>2</v>
      </c>
      <c r="AN22" s="170">
        <f>(E22+Q22+R22+S22+T22+U22+X22+Y22+Z22+AA22+AB22+AE22+AF22+AG22+AH22+AI22)/16</f>
        <v>0.36210937499999996</v>
      </c>
      <c r="AO22" s="128">
        <f>(E23+Q23+R23+S23+T23+U23+X23+Y23+AA23+AB23+AE23+AF23+AG23+AH23+AI23)/15</f>
        <v>0.77870370370370368</v>
      </c>
    </row>
    <row r="23" spans="1:41" ht="21.75" customHeight="1" x14ac:dyDescent="0.4">
      <c r="A23" s="116"/>
      <c r="B23" s="186"/>
      <c r="C23" s="120"/>
      <c r="D23" s="25" t="s">
        <v>52</v>
      </c>
      <c r="E23" s="26" t="s">
        <v>378</v>
      </c>
      <c r="F23" s="266"/>
      <c r="G23" s="228"/>
      <c r="H23" s="229"/>
      <c r="I23" s="229"/>
      <c r="J23" s="229"/>
      <c r="K23" s="229"/>
      <c r="L23" s="229"/>
      <c r="M23" s="230"/>
      <c r="N23" s="266"/>
      <c r="O23" s="26" t="s">
        <v>70</v>
      </c>
      <c r="P23" s="26" t="s">
        <v>70</v>
      </c>
      <c r="Q23" s="26" t="s">
        <v>101</v>
      </c>
      <c r="R23" s="26" t="s">
        <v>103</v>
      </c>
      <c r="S23" s="26" t="s">
        <v>88</v>
      </c>
      <c r="T23" s="26" t="s">
        <v>92</v>
      </c>
      <c r="U23" s="26" t="s">
        <v>92</v>
      </c>
      <c r="V23" s="26" t="s">
        <v>70</v>
      </c>
      <c r="W23" s="26" t="s">
        <v>70</v>
      </c>
      <c r="X23" s="26" t="s">
        <v>312</v>
      </c>
      <c r="Y23" s="26" t="s">
        <v>88</v>
      </c>
      <c r="Z23" s="26" t="s">
        <v>541</v>
      </c>
      <c r="AA23" s="26" t="s">
        <v>88</v>
      </c>
      <c r="AB23" s="26" t="s">
        <v>101</v>
      </c>
      <c r="AC23" s="26" t="s">
        <v>70</v>
      </c>
      <c r="AD23" s="26" t="s">
        <v>70</v>
      </c>
      <c r="AE23" s="26" t="s">
        <v>88</v>
      </c>
      <c r="AF23" s="26" t="s">
        <v>89</v>
      </c>
      <c r="AG23" s="26" t="s">
        <v>102</v>
      </c>
      <c r="AH23" s="26" t="s">
        <v>89</v>
      </c>
      <c r="AI23" s="26" t="s">
        <v>88</v>
      </c>
      <c r="AJ23" s="127"/>
      <c r="AK23" s="106"/>
      <c r="AL23" s="194"/>
      <c r="AM23" s="195"/>
      <c r="AN23" s="183"/>
      <c r="AO23" s="105"/>
    </row>
    <row r="24" spans="1:41" ht="21.75" customHeight="1" x14ac:dyDescent="0.4">
      <c r="A24" s="116"/>
      <c r="B24" s="186" t="s">
        <v>53</v>
      </c>
      <c r="C24" s="120" t="s">
        <v>519</v>
      </c>
      <c r="D24" s="25" t="s">
        <v>51</v>
      </c>
      <c r="E24" s="26" t="s">
        <v>120</v>
      </c>
      <c r="F24" s="26" t="s">
        <v>78</v>
      </c>
      <c r="G24" s="225" t="s">
        <v>575</v>
      </c>
      <c r="H24" s="226"/>
      <c r="I24" s="226"/>
      <c r="J24" s="226"/>
      <c r="K24" s="226"/>
      <c r="L24" s="226"/>
      <c r="M24" s="227"/>
      <c r="N24" s="26" t="s">
        <v>143</v>
      </c>
      <c r="O24" s="26" t="s">
        <v>70</v>
      </c>
      <c r="P24" s="26" t="s">
        <v>70</v>
      </c>
      <c r="Q24" s="26" t="s">
        <v>79</v>
      </c>
      <c r="R24" s="26" t="s">
        <v>73</v>
      </c>
      <c r="S24" s="26" t="s">
        <v>76</v>
      </c>
      <c r="T24" s="26" t="s">
        <v>75</v>
      </c>
      <c r="U24" s="26" t="s">
        <v>120</v>
      </c>
      <c r="V24" s="26" t="s">
        <v>70</v>
      </c>
      <c r="W24" s="26" t="s">
        <v>70</v>
      </c>
      <c r="X24" s="26" t="s">
        <v>73</v>
      </c>
      <c r="Y24" s="26" t="s">
        <v>75</v>
      </c>
      <c r="Z24" s="26" t="s">
        <v>69</v>
      </c>
      <c r="AA24" s="26" t="s">
        <v>73</v>
      </c>
      <c r="AB24" s="26" t="s">
        <v>72</v>
      </c>
      <c r="AC24" s="26" t="s">
        <v>70</v>
      </c>
      <c r="AD24" s="26" t="s">
        <v>70</v>
      </c>
      <c r="AE24" s="26" t="s">
        <v>120</v>
      </c>
      <c r="AF24" s="26" t="s">
        <v>72</v>
      </c>
      <c r="AG24" s="26" t="s">
        <v>78</v>
      </c>
      <c r="AH24" s="26" t="s">
        <v>72</v>
      </c>
      <c r="AI24" s="26" t="s">
        <v>69</v>
      </c>
      <c r="AJ24" s="112"/>
      <c r="AK24" s="106"/>
      <c r="AL24" s="194" t="s">
        <v>282</v>
      </c>
      <c r="AM24" s="195"/>
      <c r="AN24" s="170">
        <f>(E24+F24+N24+Q24+R24+S24+T24+U24+X24+Y24+Z24+AA24+AB24+AE24+AF24+AG24+AH24+AI24)/18</f>
        <v>0.36385030864197537</v>
      </c>
      <c r="AO24" s="128">
        <f>(E25+N25+Q25+R25+S25+T25+U25+X25+Y25+AA25+AB25+AE25+AF25+AG25+AH25+AI25)/16</f>
        <v>0.79231770833333326</v>
      </c>
    </row>
    <row r="25" spans="1:41" ht="21.75" customHeight="1" x14ac:dyDescent="0.4">
      <c r="A25" s="116"/>
      <c r="B25" s="186"/>
      <c r="C25" s="120"/>
      <c r="D25" s="25" t="s">
        <v>52</v>
      </c>
      <c r="E25" s="26" t="s">
        <v>129</v>
      </c>
      <c r="F25" s="26" t="s">
        <v>92</v>
      </c>
      <c r="G25" s="228"/>
      <c r="H25" s="229"/>
      <c r="I25" s="229"/>
      <c r="J25" s="229"/>
      <c r="K25" s="229"/>
      <c r="L25" s="229"/>
      <c r="M25" s="230"/>
      <c r="N25" s="26" t="s">
        <v>98</v>
      </c>
      <c r="O25" s="26" t="s">
        <v>70</v>
      </c>
      <c r="P25" s="26" t="s">
        <v>70</v>
      </c>
      <c r="Q25" s="26" t="s">
        <v>158</v>
      </c>
      <c r="R25" s="26" t="s">
        <v>188</v>
      </c>
      <c r="S25" s="26" t="s">
        <v>90</v>
      </c>
      <c r="T25" s="26" t="s">
        <v>326</v>
      </c>
      <c r="U25" s="26" t="s">
        <v>169</v>
      </c>
      <c r="V25" s="26" t="s">
        <v>70</v>
      </c>
      <c r="W25" s="26" t="s">
        <v>70</v>
      </c>
      <c r="X25" s="26" t="s">
        <v>80</v>
      </c>
      <c r="Y25" s="26" t="s">
        <v>151</v>
      </c>
      <c r="Z25" s="26" t="s">
        <v>344</v>
      </c>
      <c r="AA25" s="26" t="s">
        <v>141</v>
      </c>
      <c r="AB25" s="26" t="s">
        <v>116</v>
      </c>
      <c r="AC25" s="26" t="s">
        <v>70</v>
      </c>
      <c r="AD25" s="26" t="s">
        <v>70</v>
      </c>
      <c r="AE25" s="26" t="s">
        <v>186</v>
      </c>
      <c r="AF25" s="26" t="s">
        <v>146</v>
      </c>
      <c r="AG25" s="26" t="s">
        <v>141</v>
      </c>
      <c r="AH25" s="26" t="s">
        <v>91</v>
      </c>
      <c r="AI25" s="26" t="s">
        <v>451</v>
      </c>
      <c r="AJ25" s="112"/>
      <c r="AK25" s="106"/>
      <c r="AL25" s="194"/>
      <c r="AM25" s="195"/>
      <c r="AN25" s="183"/>
      <c r="AO25" s="105"/>
    </row>
    <row r="26" spans="1:41" ht="21.75" customHeight="1" x14ac:dyDescent="0.4">
      <c r="A26" s="116"/>
      <c r="B26" s="186" t="s">
        <v>56</v>
      </c>
      <c r="C26" s="120" t="s">
        <v>242</v>
      </c>
      <c r="D26" s="25" t="s">
        <v>51</v>
      </c>
      <c r="E26" s="26" t="s">
        <v>162</v>
      </c>
      <c r="F26" s="26" t="s">
        <v>135</v>
      </c>
      <c r="G26" s="225" t="s">
        <v>575</v>
      </c>
      <c r="H26" s="226"/>
      <c r="I26" s="226"/>
      <c r="J26" s="226"/>
      <c r="K26" s="226"/>
      <c r="L26" s="226"/>
      <c r="M26" s="227"/>
      <c r="N26" s="26" t="s">
        <v>152</v>
      </c>
      <c r="O26" s="26" t="s">
        <v>70</v>
      </c>
      <c r="P26" s="26" t="s">
        <v>70</v>
      </c>
      <c r="Q26" s="26" t="s">
        <v>79</v>
      </c>
      <c r="R26" s="26" t="s">
        <v>160</v>
      </c>
      <c r="S26" s="26" t="s">
        <v>121</v>
      </c>
      <c r="T26" s="26" t="s">
        <v>135</v>
      </c>
      <c r="U26" s="26" t="s">
        <v>161</v>
      </c>
      <c r="V26" s="26" t="s">
        <v>70</v>
      </c>
      <c r="W26" s="26" t="s">
        <v>70</v>
      </c>
      <c r="X26" s="26" t="s">
        <v>161</v>
      </c>
      <c r="Y26" s="26" t="s">
        <v>135</v>
      </c>
      <c r="Z26" s="266" t="s">
        <v>574</v>
      </c>
      <c r="AA26" s="26" t="s">
        <v>71</v>
      </c>
      <c r="AB26" s="26" t="s">
        <v>156</v>
      </c>
      <c r="AC26" s="272" t="s">
        <v>70</v>
      </c>
      <c r="AD26" s="273"/>
      <c r="AE26" s="273"/>
      <c r="AF26" s="273"/>
      <c r="AG26" s="273"/>
      <c r="AH26" s="273"/>
      <c r="AI26" s="274"/>
      <c r="AJ26" s="112"/>
      <c r="AK26" s="106"/>
      <c r="AL26" s="194"/>
      <c r="AM26" s="195"/>
      <c r="AN26" s="170">
        <f>(E26+F26+N26+Q26+R26+S26+T26+U26+X26+Y26+AA26+AB26)/12</f>
        <v>0.37123842592592587</v>
      </c>
      <c r="AO26" s="128">
        <f>(E27+N27+Q27+R27+S27+T27+U27+X27+Y27+AA27+AB27)/11</f>
        <v>0.77228535353535355</v>
      </c>
    </row>
    <row r="27" spans="1:41" ht="21.75" customHeight="1" x14ac:dyDescent="0.4">
      <c r="A27" s="117"/>
      <c r="B27" s="216"/>
      <c r="C27" s="217"/>
      <c r="D27" s="25" t="s">
        <v>52</v>
      </c>
      <c r="E27" s="26" t="s">
        <v>89</v>
      </c>
      <c r="F27" s="26" t="s">
        <v>571</v>
      </c>
      <c r="G27" s="228"/>
      <c r="H27" s="229"/>
      <c r="I27" s="229"/>
      <c r="J27" s="229"/>
      <c r="K27" s="229"/>
      <c r="L27" s="229"/>
      <c r="M27" s="230"/>
      <c r="N27" s="26" t="s">
        <v>88</v>
      </c>
      <c r="O27" s="26" t="s">
        <v>70</v>
      </c>
      <c r="P27" s="26" t="s">
        <v>70</v>
      </c>
      <c r="Q27" s="26" t="s">
        <v>88</v>
      </c>
      <c r="R27" s="26" t="s">
        <v>80</v>
      </c>
      <c r="S27" s="26" t="s">
        <v>80</v>
      </c>
      <c r="T27" s="26" t="s">
        <v>88</v>
      </c>
      <c r="U27" s="26" t="s">
        <v>85</v>
      </c>
      <c r="V27" s="26" t="s">
        <v>70</v>
      </c>
      <c r="W27" s="26" t="s">
        <v>70</v>
      </c>
      <c r="X27" s="26" t="s">
        <v>80</v>
      </c>
      <c r="Y27" s="26" t="s">
        <v>80</v>
      </c>
      <c r="Z27" s="266"/>
      <c r="AA27" s="26" t="s">
        <v>80</v>
      </c>
      <c r="AB27" s="26" t="s">
        <v>80</v>
      </c>
      <c r="AC27" s="275"/>
      <c r="AD27" s="276"/>
      <c r="AE27" s="276"/>
      <c r="AF27" s="276"/>
      <c r="AG27" s="276"/>
      <c r="AH27" s="276"/>
      <c r="AI27" s="277"/>
      <c r="AJ27" s="264"/>
      <c r="AK27" s="169"/>
      <c r="AL27" s="107"/>
      <c r="AM27" s="172"/>
      <c r="AN27" s="174"/>
      <c r="AO27" s="104"/>
    </row>
    <row r="28" spans="1:41" ht="21.75" customHeight="1" x14ac:dyDescent="0.4">
      <c r="A28" s="30"/>
      <c r="B28" s="186" t="s">
        <v>56</v>
      </c>
      <c r="C28" s="120" t="s">
        <v>563</v>
      </c>
      <c r="D28" s="25" t="s">
        <v>51</v>
      </c>
      <c r="E28" s="26" t="s">
        <v>78</v>
      </c>
      <c r="F28" s="26" t="s">
        <v>75</v>
      </c>
      <c r="G28" s="225" t="s">
        <v>575</v>
      </c>
      <c r="H28" s="226"/>
      <c r="I28" s="226"/>
      <c r="J28" s="226"/>
      <c r="K28" s="226"/>
      <c r="L28" s="226"/>
      <c r="M28" s="227"/>
      <c r="N28" s="26" t="s">
        <v>95</v>
      </c>
      <c r="O28" s="26" t="s">
        <v>70</v>
      </c>
      <c r="P28" s="26" t="s">
        <v>70</v>
      </c>
      <c r="Q28" s="26" t="s">
        <v>76</v>
      </c>
      <c r="R28" s="26" t="s">
        <v>71</v>
      </c>
      <c r="S28" s="26" t="s">
        <v>94</v>
      </c>
      <c r="T28" s="26" t="s">
        <v>95</v>
      </c>
      <c r="U28" s="26" t="s">
        <v>78</v>
      </c>
      <c r="V28" s="26" t="s">
        <v>70</v>
      </c>
      <c r="W28" s="26" t="s">
        <v>70</v>
      </c>
      <c r="X28" s="26" t="s">
        <v>78</v>
      </c>
      <c r="Y28" s="26" t="s">
        <v>73</v>
      </c>
      <c r="Z28" s="266" t="s">
        <v>574</v>
      </c>
      <c r="AA28" s="26" t="s">
        <v>78</v>
      </c>
      <c r="AB28" s="26" t="s">
        <v>75</v>
      </c>
      <c r="AC28" s="26" t="s">
        <v>70</v>
      </c>
      <c r="AD28" s="26" t="s">
        <v>70</v>
      </c>
      <c r="AE28" s="26" t="s">
        <v>73</v>
      </c>
      <c r="AF28" s="26" t="s">
        <v>69</v>
      </c>
      <c r="AG28" s="26" t="s">
        <v>73</v>
      </c>
      <c r="AH28" s="26" t="s">
        <v>120</v>
      </c>
      <c r="AI28" s="26" t="s">
        <v>69</v>
      </c>
      <c r="AJ28" s="127"/>
      <c r="AK28" s="106"/>
      <c r="AL28" s="194" t="s">
        <v>282</v>
      </c>
      <c r="AM28" s="195"/>
      <c r="AN28" s="170">
        <f>(E28+F28+N28+Q28+R28+S28+T28+U28+X28+Y28+AA28+AB28+AE28+AF28+AG28+AH28+AI28)/17</f>
        <v>0.36270424836601312</v>
      </c>
      <c r="AO28" s="128">
        <f>(E29+N29+Q29+R29+S29+T29+U29+X29+Y29+AA29+AB29+AE29+AF29+AG29+AH29+AI29)/16</f>
        <v>0.7802517361111112</v>
      </c>
    </row>
    <row r="29" spans="1:41" ht="21.75" customHeight="1" thickBot="1" x14ac:dyDescent="0.45">
      <c r="A29" s="30"/>
      <c r="B29" s="187"/>
      <c r="C29" s="121"/>
      <c r="D29" s="31" t="s">
        <v>52</v>
      </c>
      <c r="E29" s="32" t="s">
        <v>83</v>
      </c>
      <c r="F29" s="32" t="s">
        <v>571</v>
      </c>
      <c r="G29" s="269"/>
      <c r="H29" s="270"/>
      <c r="I29" s="270"/>
      <c r="J29" s="270"/>
      <c r="K29" s="270"/>
      <c r="L29" s="270"/>
      <c r="M29" s="271"/>
      <c r="N29" s="32" t="s">
        <v>123</v>
      </c>
      <c r="O29" s="32" t="s">
        <v>70</v>
      </c>
      <c r="P29" s="32" t="s">
        <v>70</v>
      </c>
      <c r="Q29" s="32" t="s">
        <v>88</v>
      </c>
      <c r="R29" s="32" t="s">
        <v>192</v>
      </c>
      <c r="S29" s="32" t="s">
        <v>80</v>
      </c>
      <c r="T29" s="32" t="s">
        <v>101</v>
      </c>
      <c r="U29" s="32" t="s">
        <v>102</v>
      </c>
      <c r="V29" s="32" t="s">
        <v>70</v>
      </c>
      <c r="W29" s="32" t="s">
        <v>70</v>
      </c>
      <c r="X29" s="32" t="s">
        <v>80</v>
      </c>
      <c r="Y29" s="32" t="s">
        <v>90</v>
      </c>
      <c r="Z29" s="268"/>
      <c r="AA29" s="32" t="s">
        <v>102</v>
      </c>
      <c r="AB29" s="32" t="s">
        <v>314</v>
      </c>
      <c r="AC29" s="32" t="s">
        <v>70</v>
      </c>
      <c r="AD29" s="32" t="s">
        <v>70</v>
      </c>
      <c r="AE29" s="32" t="s">
        <v>80</v>
      </c>
      <c r="AF29" s="32" t="s">
        <v>83</v>
      </c>
      <c r="AG29" s="32" t="s">
        <v>103</v>
      </c>
      <c r="AH29" s="32" t="s">
        <v>85</v>
      </c>
      <c r="AI29" s="32" t="s">
        <v>89</v>
      </c>
      <c r="AJ29" s="215"/>
      <c r="AK29" s="167"/>
      <c r="AL29" s="196"/>
      <c r="AM29" s="197"/>
      <c r="AN29" s="171"/>
      <c r="AO29" s="104"/>
    </row>
    <row r="30" spans="1:41" ht="21.75" customHeight="1" x14ac:dyDescent="0.4">
      <c r="A30" s="123" t="s">
        <v>64</v>
      </c>
      <c r="B30" s="190" t="s">
        <v>59</v>
      </c>
      <c r="C30" s="159" t="s">
        <v>65</v>
      </c>
      <c r="D30" s="33" t="s">
        <v>51</v>
      </c>
      <c r="E30" s="34" t="s">
        <v>100</v>
      </c>
      <c r="F30" s="34" t="s">
        <v>94</v>
      </c>
      <c r="G30" s="247" t="s">
        <v>575</v>
      </c>
      <c r="H30" s="248"/>
      <c r="I30" s="248"/>
      <c r="J30" s="248"/>
      <c r="K30" s="248"/>
      <c r="L30" s="248"/>
      <c r="M30" s="249"/>
      <c r="N30" s="34" t="s">
        <v>99</v>
      </c>
      <c r="O30" s="34" t="s">
        <v>70</v>
      </c>
      <c r="P30" s="34" t="s">
        <v>70</v>
      </c>
      <c r="Q30" s="34" t="s">
        <v>134</v>
      </c>
      <c r="R30" s="34" t="s">
        <v>100</v>
      </c>
      <c r="S30" s="34" t="s">
        <v>95</v>
      </c>
      <c r="T30" s="34" t="s">
        <v>142</v>
      </c>
      <c r="U30" s="267" t="s">
        <v>176</v>
      </c>
      <c r="V30" s="34" t="s">
        <v>70</v>
      </c>
      <c r="W30" s="34" t="s">
        <v>70</v>
      </c>
      <c r="X30" s="34" t="s">
        <v>94</v>
      </c>
      <c r="Y30" s="34" t="s">
        <v>99</v>
      </c>
      <c r="Z30" s="34" t="s">
        <v>93</v>
      </c>
      <c r="AA30" s="34" t="s">
        <v>142</v>
      </c>
      <c r="AB30" s="34" t="s">
        <v>119</v>
      </c>
      <c r="AC30" s="34" t="s">
        <v>70</v>
      </c>
      <c r="AD30" s="34" t="s">
        <v>70</v>
      </c>
      <c r="AE30" s="34" t="s">
        <v>119</v>
      </c>
      <c r="AF30" s="34" t="s">
        <v>143</v>
      </c>
      <c r="AG30" s="34" t="s">
        <v>100</v>
      </c>
      <c r="AH30" s="267" t="s">
        <v>176</v>
      </c>
      <c r="AI30" s="34" t="s">
        <v>100</v>
      </c>
      <c r="AJ30" s="160"/>
      <c r="AK30" s="166"/>
      <c r="AL30" s="108"/>
      <c r="AM30" s="110">
        <v>2</v>
      </c>
      <c r="AN30" s="183">
        <f>(E30+F30+N30+Q30+R30+S30+T30+X30+Y30+Z30+AA30+AB30+AE30+AF30+AG30+AI30)/16</f>
        <v>0.35863715277777775</v>
      </c>
      <c r="AO30" s="203">
        <f>(E31+N31+Q31+R31+S31+T31+X31+Y31+AA31+AB31+AE31+AF31+AG31+AI31)/14</f>
        <v>0.81254960317460301</v>
      </c>
    </row>
    <row r="31" spans="1:41" ht="21.75" customHeight="1" x14ac:dyDescent="0.4">
      <c r="A31" s="124"/>
      <c r="B31" s="186"/>
      <c r="C31" s="120"/>
      <c r="D31" s="25" t="s">
        <v>52</v>
      </c>
      <c r="E31" s="26" t="s">
        <v>190</v>
      </c>
      <c r="F31" s="26" t="s">
        <v>103</v>
      </c>
      <c r="G31" s="228"/>
      <c r="H31" s="229"/>
      <c r="I31" s="229"/>
      <c r="J31" s="229"/>
      <c r="K31" s="229"/>
      <c r="L31" s="229"/>
      <c r="M31" s="230"/>
      <c r="N31" s="26" t="s">
        <v>185</v>
      </c>
      <c r="O31" s="26" t="s">
        <v>70</v>
      </c>
      <c r="P31" s="26" t="s">
        <v>70</v>
      </c>
      <c r="Q31" s="26" t="s">
        <v>159</v>
      </c>
      <c r="R31" s="26" t="s">
        <v>126</v>
      </c>
      <c r="S31" s="26" t="s">
        <v>113</v>
      </c>
      <c r="T31" s="26" t="s">
        <v>115</v>
      </c>
      <c r="U31" s="266"/>
      <c r="V31" s="26" t="s">
        <v>70</v>
      </c>
      <c r="W31" s="26" t="s">
        <v>70</v>
      </c>
      <c r="X31" s="26" t="s">
        <v>115</v>
      </c>
      <c r="Y31" s="26" t="s">
        <v>126</v>
      </c>
      <c r="Z31" s="26" t="s">
        <v>115</v>
      </c>
      <c r="AA31" s="26" t="s">
        <v>294</v>
      </c>
      <c r="AB31" s="26" t="s">
        <v>366</v>
      </c>
      <c r="AC31" s="26" t="s">
        <v>70</v>
      </c>
      <c r="AD31" s="26" t="s">
        <v>70</v>
      </c>
      <c r="AE31" s="26" t="s">
        <v>294</v>
      </c>
      <c r="AF31" s="26" t="s">
        <v>289</v>
      </c>
      <c r="AG31" s="26" t="s">
        <v>115</v>
      </c>
      <c r="AH31" s="266"/>
      <c r="AI31" s="26" t="s">
        <v>126</v>
      </c>
      <c r="AJ31" s="127"/>
      <c r="AK31" s="106"/>
      <c r="AL31" s="194"/>
      <c r="AM31" s="195"/>
      <c r="AN31" s="111"/>
      <c r="AO31" s="181"/>
    </row>
    <row r="32" spans="1:41" ht="21.75" customHeight="1" x14ac:dyDescent="0.4">
      <c r="A32" s="124"/>
      <c r="B32" s="186" t="s">
        <v>67</v>
      </c>
      <c r="C32" s="120" t="s">
        <v>66</v>
      </c>
      <c r="D32" s="25" t="s">
        <v>51</v>
      </c>
      <c r="E32" s="26" t="s">
        <v>75</v>
      </c>
      <c r="F32" s="26" t="s">
        <v>152</v>
      </c>
      <c r="G32" s="225" t="s">
        <v>575</v>
      </c>
      <c r="H32" s="226"/>
      <c r="I32" s="226"/>
      <c r="J32" s="226"/>
      <c r="K32" s="226"/>
      <c r="L32" s="226"/>
      <c r="M32" s="227"/>
      <c r="N32" s="26" t="s">
        <v>100</v>
      </c>
      <c r="O32" s="26" t="s">
        <v>70</v>
      </c>
      <c r="P32" s="26" t="s">
        <v>70</v>
      </c>
      <c r="Q32" s="26" t="s">
        <v>75</v>
      </c>
      <c r="R32" s="26" t="s">
        <v>68</v>
      </c>
      <c r="S32" s="26" t="s">
        <v>152</v>
      </c>
      <c r="T32" s="26" t="s">
        <v>75</v>
      </c>
      <c r="U32" s="26" t="s">
        <v>72</v>
      </c>
      <c r="V32" s="26" t="s">
        <v>70</v>
      </c>
      <c r="W32" s="26" t="s">
        <v>70</v>
      </c>
      <c r="X32" s="26" t="s">
        <v>69</v>
      </c>
      <c r="Y32" s="26" t="s">
        <v>68</v>
      </c>
      <c r="Z32" s="26" t="s">
        <v>68</v>
      </c>
      <c r="AA32" s="26" t="s">
        <v>100</v>
      </c>
      <c r="AB32" s="26" t="s">
        <v>119</v>
      </c>
      <c r="AC32" s="26" t="s">
        <v>70</v>
      </c>
      <c r="AD32" s="26" t="s">
        <v>70</v>
      </c>
      <c r="AE32" s="26" t="s">
        <v>160</v>
      </c>
      <c r="AF32" s="26" t="s">
        <v>79</v>
      </c>
      <c r="AG32" s="26" t="s">
        <v>152</v>
      </c>
      <c r="AH32" s="26" t="s">
        <v>120</v>
      </c>
      <c r="AI32" s="26" t="s">
        <v>94</v>
      </c>
      <c r="AJ32" s="112"/>
      <c r="AK32" s="106"/>
      <c r="AL32" s="194" t="s">
        <v>284</v>
      </c>
      <c r="AM32" s="195"/>
      <c r="AN32" s="111">
        <f>(E32+F32+N32+Q32+R32+S32+T32+U32+X32+Y32+Z32+AA32+AB32+AE32+AF32+AG32+AH32+AI32)/18</f>
        <v>0.36562499999999998</v>
      </c>
      <c r="AO32" s="181">
        <f>(E33+N33+Q33+R33+S33+T33+U33+X33+Y33+AA33+AB33+AE33+AF33+AG33+AH33+AI33)/16</f>
        <v>0.8041666666666667</v>
      </c>
    </row>
    <row r="33" spans="1:41" ht="21.75" customHeight="1" x14ac:dyDescent="0.4">
      <c r="A33" s="124"/>
      <c r="B33" s="186"/>
      <c r="C33" s="120"/>
      <c r="D33" s="25" t="s">
        <v>52</v>
      </c>
      <c r="E33" s="26" t="s">
        <v>439</v>
      </c>
      <c r="F33" s="26" t="s">
        <v>102</v>
      </c>
      <c r="G33" s="228"/>
      <c r="H33" s="229"/>
      <c r="I33" s="229"/>
      <c r="J33" s="229"/>
      <c r="K33" s="229"/>
      <c r="L33" s="229"/>
      <c r="M33" s="230"/>
      <c r="N33" s="26" t="s">
        <v>551</v>
      </c>
      <c r="O33" s="26" t="s">
        <v>70</v>
      </c>
      <c r="P33" s="26" t="s">
        <v>70</v>
      </c>
      <c r="Q33" s="26" t="s">
        <v>126</v>
      </c>
      <c r="R33" s="26" t="s">
        <v>327</v>
      </c>
      <c r="S33" s="26" t="s">
        <v>170</v>
      </c>
      <c r="T33" s="26" t="s">
        <v>102</v>
      </c>
      <c r="U33" s="26" t="s">
        <v>91</v>
      </c>
      <c r="V33" s="26" t="s">
        <v>70</v>
      </c>
      <c r="W33" s="26" t="s">
        <v>70</v>
      </c>
      <c r="X33" s="26" t="s">
        <v>192</v>
      </c>
      <c r="Y33" s="26" t="s">
        <v>141</v>
      </c>
      <c r="Z33" s="26" t="s">
        <v>237</v>
      </c>
      <c r="AA33" s="26" t="s">
        <v>85</v>
      </c>
      <c r="AB33" s="26" t="s">
        <v>326</v>
      </c>
      <c r="AC33" s="26" t="s">
        <v>70</v>
      </c>
      <c r="AD33" s="26" t="s">
        <v>70</v>
      </c>
      <c r="AE33" s="26" t="s">
        <v>307</v>
      </c>
      <c r="AF33" s="26" t="s">
        <v>89</v>
      </c>
      <c r="AG33" s="26" t="s">
        <v>393</v>
      </c>
      <c r="AH33" s="26" t="s">
        <v>102</v>
      </c>
      <c r="AI33" s="26" t="s">
        <v>128</v>
      </c>
      <c r="AJ33" s="112"/>
      <c r="AK33" s="106"/>
      <c r="AL33" s="194"/>
      <c r="AM33" s="195"/>
      <c r="AN33" s="111"/>
      <c r="AO33" s="181"/>
    </row>
    <row r="34" spans="1:41" ht="21.75" customHeight="1" x14ac:dyDescent="0.4">
      <c r="A34" s="124"/>
      <c r="B34" s="186" t="s">
        <v>49</v>
      </c>
      <c r="C34" s="120" t="s">
        <v>194</v>
      </c>
      <c r="D34" s="25" t="s">
        <v>51</v>
      </c>
      <c r="E34" s="26" t="s">
        <v>75</v>
      </c>
      <c r="F34" s="26" t="s">
        <v>120</v>
      </c>
      <c r="G34" s="225" t="s">
        <v>575</v>
      </c>
      <c r="H34" s="226"/>
      <c r="I34" s="226"/>
      <c r="J34" s="226"/>
      <c r="K34" s="226"/>
      <c r="L34" s="226"/>
      <c r="M34" s="227"/>
      <c r="N34" s="26" t="s">
        <v>76</v>
      </c>
      <c r="O34" s="26" t="s">
        <v>70</v>
      </c>
      <c r="P34" s="26" t="s">
        <v>70</v>
      </c>
      <c r="Q34" s="26" t="s">
        <v>75</v>
      </c>
      <c r="R34" s="26" t="s">
        <v>68</v>
      </c>
      <c r="S34" s="26" t="s">
        <v>161</v>
      </c>
      <c r="T34" s="26" t="s">
        <v>120</v>
      </c>
      <c r="U34" s="26" t="s">
        <v>156</v>
      </c>
      <c r="V34" s="26" t="s">
        <v>70</v>
      </c>
      <c r="W34" s="26" t="s">
        <v>70</v>
      </c>
      <c r="X34" s="26" t="s">
        <v>152</v>
      </c>
      <c r="Y34" s="26" t="s">
        <v>121</v>
      </c>
      <c r="Z34" s="26" t="s">
        <v>69</v>
      </c>
      <c r="AA34" s="29" t="s">
        <v>485</v>
      </c>
      <c r="AB34" s="26" t="s">
        <v>156</v>
      </c>
      <c r="AC34" s="26" t="s">
        <v>70</v>
      </c>
      <c r="AD34" s="26" t="s">
        <v>70</v>
      </c>
      <c r="AE34" s="26" t="s">
        <v>76</v>
      </c>
      <c r="AF34" s="41" t="s">
        <v>279</v>
      </c>
      <c r="AG34" s="26" t="s">
        <v>156</v>
      </c>
      <c r="AH34" s="26" t="s">
        <v>156</v>
      </c>
      <c r="AI34" s="26" t="s">
        <v>121</v>
      </c>
      <c r="AJ34" s="112"/>
      <c r="AK34" s="106" t="s">
        <v>282</v>
      </c>
      <c r="AL34" s="194" t="s">
        <v>282</v>
      </c>
      <c r="AM34" s="195">
        <v>1</v>
      </c>
      <c r="AN34" s="111">
        <f>(E34+F34+N34+Q34+R34+S34+T34+U34+X34+Y34+Z34+AA34+AB34+AE34+AG34+AH34+AI34)/17</f>
        <v>0.36879084967320264</v>
      </c>
      <c r="AO34" s="181">
        <f>(E35+N35+Q35+R35+S35+U35+X35+Y35+AA35+AB35+AE35+AF35+AG35+AH35+AI35)/15</f>
        <v>0.78273148148148175</v>
      </c>
    </row>
    <row r="35" spans="1:41" ht="21.75" customHeight="1" x14ac:dyDescent="0.4">
      <c r="A35" s="124"/>
      <c r="B35" s="186"/>
      <c r="C35" s="120"/>
      <c r="D35" s="25" t="s">
        <v>52</v>
      </c>
      <c r="E35" s="26" t="s">
        <v>90</v>
      </c>
      <c r="F35" s="26" t="s">
        <v>222</v>
      </c>
      <c r="G35" s="228"/>
      <c r="H35" s="229"/>
      <c r="I35" s="229"/>
      <c r="J35" s="229"/>
      <c r="K35" s="229"/>
      <c r="L35" s="229"/>
      <c r="M35" s="230"/>
      <c r="N35" s="26" t="s">
        <v>85</v>
      </c>
      <c r="O35" s="26" t="s">
        <v>70</v>
      </c>
      <c r="P35" s="26" t="s">
        <v>70</v>
      </c>
      <c r="Q35" s="26" t="s">
        <v>86</v>
      </c>
      <c r="R35" s="26" t="s">
        <v>89</v>
      </c>
      <c r="S35" s="26" t="s">
        <v>186</v>
      </c>
      <c r="T35" s="41" t="s">
        <v>279</v>
      </c>
      <c r="U35" s="26" t="s">
        <v>89</v>
      </c>
      <c r="V35" s="26" t="s">
        <v>70</v>
      </c>
      <c r="W35" s="26" t="s">
        <v>70</v>
      </c>
      <c r="X35" s="26" t="s">
        <v>85</v>
      </c>
      <c r="Y35" s="26" t="s">
        <v>85</v>
      </c>
      <c r="Z35" s="26" t="s">
        <v>291</v>
      </c>
      <c r="AA35" s="26" t="s">
        <v>83</v>
      </c>
      <c r="AB35" s="26" t="s">
        <v>80</v>
      </c>
      <c r="AC35" s="26" t="s">
        <v>70</v>
      </c>
      <c r="AD35" s="26" t="s">
        <v>70</v>
      </c>
      <c r="AE35" s="26" t="s">
        <v>91</v>
      </c>
      <c r="AF35" s="26" t="s">
        <v>83</v>
      </c>
      <c r="AG35" s="26" t="s">
        <v>560</v>
      </c>
      <c r="AH35" s="26" t="s">
        <v>158</v>
      </c>
      <c r="AI35" s="26" t="s">
        <v>85</v>
      </c>
      <c r="AJ35" s="112"/>
      <c r="AK35" s="106"/>
      <c r="AL35" s="194"/>
      <c r="AM35" s="195"/>
      <c r="AN35" s="111"/>
      <c r="AO35" s="181"/>
    </row>
    <row r="36" spans="1:41" ht="21.75" customHeight="1" x14ac:dyDescent="0.4">
      <c r="A36" s="124"/>
      <c r="B36" s="186" t="s">
        <v>56</v>
      </c>
      <c r="C36" s="120" t="s">
        <v>553</v>
      </c>
      <c r="D36" s="25" t="s">
        <v>51</v>
      </c>
      <c r="E36" s="26" t="s">
        <v>152</v>
      </c>
      <c r="F36" s="26" t="s">
        <v>72</v>
      </c>
      <c r="G36" s="225" t="s">
        <v>575</v>
      </c>
      <c r="H36" s="226"/>
      <c r="I36" s="226"/>
      <c r="J36" s="226"/>
      <c r="K36" s="226"/>
      <c r="L36" s="226"/>
      <c r="M36" s="227"/>
      <c r="N36" s="26" t="s">
        <v>73</v>
      </c>
      <c r="O36" s="26" t="s">
        <v>70</v>
      </c>
      <c r="P36" s="26" t="s">
        <v>70</v>
      </c>
      <c r="Q36" s="26" t="s">
        <v>75</v>
      </c>
      <c r="R36" s="26" t="s">
        <v>72</v>
      </c>
      <c r="S36" s="26" t="s">
        <v>136</v>
      </c>
      <c r="T36" s="26" t="s">
        <v>69</v>
      </c>
      <c r="U36" s="26" t="s">
        <v>79</v>
      </c>
      <c r="V36" s="26" t="s">
        <v>70</v>
      </c>
      <c r="W36" s="26" t="s">
        <v>70</v>
      </c>
      <c r="X36" s="26" t="s">
        <v>152</v>
      </c>
      <c r="Y36" s="266" t="s">
        <v>574</v>
      </c>
      <c r="Z36" s="26" t="s">
        <v>121</v>
      </c>
      <c r="AA36" s="26" t="s">
        <v>79</v>
      </c>
      <c r="AB36" s="26" t="s">
        <v>120</v>
      </c>
      <c r="AC36" s="26" t="s">
        <v>70</v>
      </c>
      <c r="AD36" s="26" t="s">
        <v>70</v>
      </c>
      <c r="AE36" s="26" t="s">
        <v>152</v>
      </c>
      <c r="AF36" s="26" t="s">
        <v>152</v>
      </c>
      <c r="AG36" s="26" t="s">
        <v>120</v>
      </c>
      <c r="AH36" s="26" t="s">
        <v>152</v>
      </c>
      <c r="AI36" s="26" t="s">
        <v>152</v>
      </c>
      <c r="AJ36" s="112"/>
      <c r="AK36" s="106"/>
      <c r="AL36" s="194"/>
      <c r="AM36" s="195"/>
      <c r="AN36" s="111">
        <f>(E36+F36+N36+Q36+R36+S36+T36+U36+X36+Z36+AA36+AB36+AE36+AF36+AG36+AH36+AI36)/17</f>
        <v>0.36540032679738549</v>
      </c>
      <c r="AO36" s="181">
        <f>(E37+N37+Q37+R37+S37+T37+U37+X37+AA37+AB37+AE37+AF37+AG37+AH37+AI37)/15</f>
        <v>0.77092592592592601</v>
      </c>
    </row>
    <row r="37" spans="1:41" ht="21.75" customHeight="1" x14ac:dyDescent="0.4">
      <c r="A37" s="124"/>
      <c r="B37" s="186"/>
      <c r="C37" s="120"/>
      <c r="D37" s="25" t="s">
        <v>52</v>
      </c>
      <c r="E37" s="26" t="s">
        <v>312</v>
      </c>
      <c r="F37" s="26" t="s">
        <v>569</v>
      </c>
      <c r="G37" s="228"/>
      <c r="H37" s="229"/>
      <c r="I37" s="229"/>
      <c r="J37" s="229"/>
      <c r="K37" s="229"/>
      <c r="L37" s="229"/>
      <c r="M37" s="230"/>
      <c r="N37" s="26" t="s">
        <v>312</v>
      </c>
      <c r="O37" s="26" t="s">
        <v>70</v>
      </c>
      <c r="P37" s="26" t="s">
        <v>70</v>
      </c>
      <c r="Q37" s="26" t="s">
        <v>312</v>
      </c>
      <c r="R37" s="26" t="s">
        <v>312</v>
      </c>
      <c r="S37" s="26" t="s">
        <v>312</v>
      </c>
      <c r="T37" s="26" t="s">
        <v>88</v>
      </c>
      <c r="U37" s="26" t="s">
        <v>312</v>
      </c>
      <c r="V37" s="26" t="s">
        <v>70</v>
      </c>
      <c r="W37" s="26" t="s">
        <v>70</v>
      </c>
      <c r="X37" s="26" t="s">
        <v>312</v>
      </c>
      <c r="Y37" s="266"/>
      <c r="Z37" s="26" t="s">
        <v>541</v>
      </c>
      <c r="AA37" s="26" t="s">
        <v>312</v>
      </c>
      <c r="AB37" s="26" t="s">
        <v>312</v>
      </c>
      <c r="AC37" s="26" t="s">
        <v>70</v>
      </c>
      <c r="AD37" s="26" t="s">
        <v>70</v>
      </c>
      <c r="AE37" s="26" t="s">
        <v>312</v>
      </c>
      <c r="AF37" s="26" t="s">
        <v>312</v>
      </c>
      <c r="AG37" s="26" t="s">
        <v>312</v>
      </c>
      <c r="AH37" s="26" t="s">
        <v>312</v>
      </c>
      <c r="AI37" s="26" t="s">
        <v>88</v>
      </c>
      <c r="AJ37" s="112"/>
      <c r="AK37" s="106"/>
      <c r="AL37" s="194"/>
      <c r="AM37" s="195"/>
      <c r="AN37" s="111"/>
      <c r="AO37" s="181"/>
    </row>
    <row r="38" spans="1:41" ht="21.75" customHeight="1" x14ac:dyDescent="0.4">
      <c r="A38" s="124"/>
      <c r="B38" s="186" t="s">
        <v>56</v>
      </c>
      <c r="C38" s="120" t="s">
        <v>564</v>
      </c>
      <c r="D38" s="25" t="s">
        <v>51</v>
      </c>
      <c r="E38" s="26" t="s">
        <v>72</v>
      </c>
      <c r="F38" s="26" t="s">
        <v>73</v>
      </c>
      <c r="G38" s="225" t="s">
        <v>575</v>
      </c>
      <c r="H38" s="226"/>
      <c r="I38" s="226"/>
      <c r="J38" s="226"/>
      <c r="K38" s="226"/>
      <c r="L38" s="226"/>
      <c r="M38" s="227"/>
      <c r="N38" s="26" t="s">
        <v>73</v>
      </c>
      <c r="O38" s="26" t="s">
        <v>70</v>
      </c>
      <c r="P38" s="26" t="s">
        <v>70</v>
      </c>
      <c r="Q38" s="26" t="s">
        <v>73</v>
      </c>
      <c r="R38" s="26" t="s">
        <v>72</v>
      </c>
      <c r="S38" s="26" t="s">
        <v>73</v>
      </c>
      <c r="T38" s="26" t="s">
        <v>72</v>
      </c>
      <c r="U38" s="26" t="s">
        <v>99</v>
      </c>
      <c r="V38" s="26" t="s">
        <v>70</v>
      </c>
      <c r="W38" s="26" t="s">
        <v>70</v>
      </c>
      <c r="X38" s="26" t="s">
        <v>477</v>
      </c>
      <c r="Y38" s="266" t="s">
        <v>574</v>
      </c>
      <c r="Z38" s="26" t="s">
        <v>73</v>
      </c>
      <c r="AA38" s="26" t="s">
        <v>72</v>
      </c>
      <c r="AB38" s="26" t="s">
        <v>73</v>
      </c>
      <c r="AC38" s="26" t="s">
        <v>70</v>
      </c>
      <c r="AD38" s="26" t="s">
        <v>70</v>
      </c>
      <c r="AE38" s="26" t="s">
        <v>75</v>
      </c>
      <c r="AF38" s="26" t="s">
        <v>72</v>
      </c>
      <c r="AG38" s="26" t="s">
        <v>75</v>
      </c>
      <c r="AH38" s="26" t="s">
        <v>75</v>
      </c>
      <c r="AI38" s="26" t="s">
        <v>72</v>
      </c>
      <c r="AJ38" s="127" t="s">
        <v>282</v>
      </c>
      <c r="AK38" s="106"/>
      <c r="AL38" s="194"/>
      <c r="AM38" s="195">
        <v>0.5</v>
      </c>
      <c r="AN38" s="111">
        <f>(E38+F38+N38+Q38+R38+S38+T38+U38+X38+Z38+AA38+AB38+AE38+AF38+AG38+AH38+AI38)/17</f>
        <v>0.36074346405228758</v>
      </c>
      <c r="AO38" s="181">
        <f>(N39+Q39+R39+S39+T39+U39+X39+AA39+AB39+AE39+AF39+AG39+AH39+AI39)/14</f>
        <v>0.77281746031746035</v>
      </c>
    </row>
    <row r="39" spans="1:41" ht="21.75" customHeight="1" thickBot="1" x14ac:dyDescent="0.45">
      <c r="A39" s="124"/>
      <c r="B39" s="187"/>
      <c r="C39" s="121"/>
      <c r="D39" s="31" t="s">
        <v>52</v>
      </c>
      <c r="E39" s="63" t="s">
        <v>279</v>
      </c>
      <c r="F39" s="32" t="s">
        <v>573</v>
      </c>
      <c r="G39" s="269"/>
      <c r="H39" s="270"/>
      <c r="I39" s="270"/>
      <c r="J39" s="270"/>
      <c r="K39" s="270"/>
      <c r="L39" s="270"/>
      <c r="M39" s="271"/>
      <c r="N39" s="32" t="s">
        <v>80</v>
      </c>
      <c r="O39" s="32" t="s">
        <v>70</v>
      </c>
      <c r="P39" s="32" t="s">
        <v>70</v>
      </c>
      <c r="Q39" s="32" t="s">
        <v>88</v>
      </c>
      <c r="R39" s="32" t="s">
        <v>89</v>
      </c>
      <c r="S39" s="32" t="s">
        <v>88</v>
      </c>
      <c r="T39" s="32" t="s">
        <v>89</v>
      </c>
      <c r="U39" s="32" t="s">
        <v>123</v>
      </c>
      <c r="V39" s="32" t="s">
        <v>70</v>
      </c>
      <c r="W39" s="32" t="s">
        <v>70</v>
      </c>
      <c r="X39" s="32" t="s">
        <v>88</v>
      </c>
      <c r="Y39" s="268"/>
      <c r="Z39" s="32" t="s">
        <v>541</v>
      </c>
      <c r="AA39" s="32" t="s">
        <v>88</v>
      </c>
      <c r="AB39" s="32" t="s">
        <v>88</v>
      </c>
      <c r="AC39" s="32" t="s">
        <v>70</v>
      </c>
      <c r="AD39" s="32" t="s">
        <v>70</v>
      </c>
      <c r="AE39" s="32" t="s">
        <v>312</v>
      </c>
      <c r="AF39" s="32" t="s">
        <v>90</v>
      </c>
      <c r="AG39" s="32" t="s">
        <v>88</v>
      </c>
      <c r="AH39" s="32" t="s">
        <v>312</v>
      </c>
      <c r="AI39" s="32" t="s">
        <v>88</v>
      </c>
      <c r="AJ39" s="215"/>
      <c r="AK39" s="167"/>
      <c r="AL39" s="196"/>
      <c r="AM39" s="197"/>
      <c r="AN39" s="188"/>
      <c r="AO39" s="189"/>
    </row>
    <row r="40" spans="1:41" x14ac:dyDescent="0.4">
      <c r="AM40" s="36">
        <f>SUM(AM4:AM39)</f>
        <v>14.5</v>
      </c>
    </row>
  </sheetData>
  <mergeCells count="212">
    <mergeCell ref="AJ18:AJ19"/>
    <mergeCell ref="AK18:AK19"/>
    <mergeCell ref="E18:P19"/>
    <mergeCell ref="Y18:Y19"/>
    <mergeCell ref="Z18:Z19"/>
    <mergeCell ref="AA18:AA19"/>
    <mergeCell ref="AI6:AI7"/>
    <mergeCell ref="T14:T15"/>
    <mergeCell ref="AG16:AG17"/>
    <mergeCell ref="AK16:AK17"/>
    <mergeCell ref="AB18:AB19"/>
    <mergeCell ref="G32:M33"/>
    <mergeCell ref="G34:M35"/>
    <mergeCell ref="G36:M37"/>
    <mergeCell ref="G38:M39"/>
    <mergeCell ref="AC26:AI27"/>
    <mergeCell ref="Y36:Y37"/>
    <mergeCell ref="Y38:Y39"/>
    <mergeCell ref="B18:B19"/>
    <mergeCell ref="C18:C19"/>
    <mergeCell ref="F22:F23"/>
    <mergeCell ref="N22:N23"/>
    <mergeCell ref="U30:U31"/>
    <mergeCell ref="G20:M21"/>
    <mergeCell ref="G22:M23"/>
    <mergeCell ref="G24:M25"/>
    <mergeCell ref="G26:M27"/>
    <mergeCell ref="G28:M29"/>
    <mergeCell ref="G30:M31"/>
    <mergeCell ref="G4:M5"/>
    <mergeCell ref="G6:M7"/>
    <mergeCell ref="G8:M9"/>
    <mergeCell ref="G10:M11"/>
    <mergeCell ref="G12:M13"/>
    <mergeCell ref="G14:M15"/>
    <mergeCell ref="AA10:AA11"/>
    <mergeCell ref="Z26:Z27"/>
    <mergeCell ref="Z28:Z29"/>
    <mergeCell ref="Z20:Z21"/>
    <mergeCell ref="AA8:AA9"/>
    <mergeCell ref="Y4:Y5"/>
    <mergeCell ref="Z4:Z5"/>
    <mergeCell ref="AA4:AA5"/>
    <mergeCell ref="N10:N11"/>
    <mergeCell ref="T10:T11"/>
    <mergeCell ref="U10:U11"/>
    <mergeCell ref="AB4:AB5"/>
    <mergeCell ref="Y6:Y7"/>
    <mergeCell ref="Z6:Z7"/>
    <mergeCell ref="AA6:AA7"/>
    <mergeCell ref="AB6:AB7"/>
    <mergeCell ref="AO38:AO39"/>
    <mergeCell ref="Y14:Y15"/>
    <mergeCell ref="Z14:Z15"/>
    <mergeCell ref="AA14:AA15"/>
    <mergeCell ref="AB14:AB15"/>
    <mergeCell ref="AA12:AA13"/>
    <mergeCell ref="AL18:AL19"/>
    <mergeCell ref="AM18:AM19"/>
    <mergeCell ref="AN18:AN19"/>
    <mergeCell ref="AN36:AN37"/>
    <mergeCell ref="AO36:AO37"/>
    <mergeCell ref="AO32:AO33"/>
    <mergeCell ref="AN28:AN29"/>
    <mergeCell ref="AO28:AO29"/>
    <mergeCell ref="AO24:AO25"/>
    <mergeCell ref="AO18:AO19"/>
    <mergeCell ref="AN16:AN17"/>
    <mergeCell ref="AO16:AO17"/>
    <mergeCell ref="AJ16:AJ17"/>
    <mergeCell ref="B38:B39"/>
    <mergeCell ref="C38:C39"/>
    <mergeCell ref="AJ38:AJ39"/>
    <mergeCell ref="AK38:AK39"/>
    <mergeCell ref="AL38:AL39"/>
    <mergeCell ref="AM38:AM39"/>
    <mergeCell ref="AN38:AN39"/>
    <mergeCell ref="B36:B37"/>
    <mergeCell ref="C36:C37"/>
    <mergeCell ref="AJ36:AJ37"/>
    <mergeCell ref="AK36:AK37"/>
    <mergeCell ref="AL36:AL37"/>
    <mergeCell ref="AM36:AM37"/>
    <mergeCell ref="AK34:AK35"/>
    <mergeCell ref="AL34:AL35"/>
    <mergeCell ref="AM34:AM35"/>
    <mergeCell ref="AN34:AN35"/>
    <mergeCell ref="AO34:AO35"/>
    <mergeCell ref="AN30:AN31"/>
    <mergeCell ref="AO30:AO31"/>
    <mergeCell ref="B32:B33"/>
    <mergeCell ref="C32:C33"/>
    <mergeCell ref="AJ32:AJ33"/>
    <mergeCell ref="AK32:AK33"/>
    <mergeCell ref="AL32:AL33"/>
    <mergeCell ref="AM32:AM33"/>
    <mergeCell ref="AN32:AN33"/>
    <mergeCell ref="AH30:AH31"/>
    <mergeCell ref="AM24:AM25"/>
    <mergeCell ref="AN24:AN25"/>
    <mergeCell ref="B22:B23"/>
    <mergeCell ref="C22:C23"/>
    <mergeCell ref="AJ22:AJ23"/>
    <mergeCell ref="AK22:AK23"/>
    <mergeCell ref="AL22:AL23"/>
    <mergeCell ref="AM22:AM23"/>
    <mergeCell ref="A30:A39"/>
    <mergeCell ref="B30:B31"/>
    <mergeCell ref="C30:C31"/>
    <mergeCell ref="AJ30:AJ31"/>
    <mergeCell ref="AK30:AK31"/>
    <mergeCell ref="AL30:AL31"/>
    <mergeCell ref="AM30:AM31"/>
    <mergeCell ref="B28:B29"/>
    <mergeCell ref="C28:C29"/>
    <mergeCell ref="AJ28:AJ29"/>
    <mergeCell ref="AK28:AK29"/>
    <mergeCell ref="AL28:AL29"/>
    <mergeCell ref="AM28:AM29"/>
    <mergeCell ref="B34:B35"/>
    <mergeCell ref="C34:C35"/>
    <mergeCell ref="AJ34:AJ35"/>
    <mergeCell ref="A20:A27"/>
    <mergeCell ref="B20:B21"/>
    <mergeCell ref="C20:C21"/>
    <mergeCell ref="AJ20:AJ21"/>
    <mergeCell ref="AK20:AK21"/>
    <mergeCell ref="AL20:AL21"/>
    <mergeCell ref="AM20:AM21"/>
    <mergeCell ref="AN20:AN21"/>
    <mergeCell ref="AO20:AO21"/>
    <mergeCell ref="B26:B27"/>
    <mergeCell ref="C26:C27"/>
    <mergeCell ref="AJ26:AJ27"/>
    <mergeCell ref="AK26:AK27"/>
    <mergeCell ref="AL26:AL27"/>
    <mergeCell ref="AM26:AM27"/>
    <mergeCell ref="AN26:AN27"/>
    <mergeCell ref="AO26:AO27"/>
    <mergeCell ref="AN22:AN23"/>
    <mergeCell ref="AO22:AO23"/>
    <mergeCell ref="B24:B25"/>
    <mergeCell ref="C24:C25"/>
    <mergeCell ref="AJ24:AJ25"/>
    <mergeCell ref="AK24:AK25"/>
    <mergeCell ref="AL24:AL25"/>
    <mergeCell ref="AN12:AN13"/>
    <mergeCell ref="AO12:AO13"/>
    <mergeCell ref="B14:B15"/>
    <mergeCell ref="C14:C15"/>
    <mergeCell ref="AJ14:AJ15"/>
    <mergeCell ref="AK14:AK15"/>
    <mergeCell ref="AL14:AL15"/>
    <mergeCell ref="AM14:AM15"/>
    <mergeCell ref="AN14:AN15"/>
    <mergeCell ref="AO14:AO15"/>
    <mergeCell ref="B12:B13"/>
    <mergeCell ref="C12:C13"/>
    <mergeCell ref="AJ12:AJ13"/>
    <mergeCell ref="AK12:AK13"/>
    <mergeCell ref="AL12:AL13"/>
    <mergeCell ref="AM12:AM13"/>
    <mergeCell ref="AL16:AL17"/>
    <mergeCell ref="AM16:AM17"/>
    <mergeCell ref="G16:M17"/>
    <mergeCell ref="B16:B17"/>
    <mergeCell ref="C16:C17"/>
    <mergeCell ref="AM8:AM9"/>
    <mergeCell ref="AN8:AN9"/>
    <mergeCell ref="AO8:AO9"/>
    <mergeCell ref="B10:B11"/>
    <mergeCell ref="C10:C11"/>
    <mergeCell ref="AB10:AB11"/>
    <mergeCell ref="AJ10:AJ11"/>
    <mergeCell ref="AK10:AK11"/>
    <mergeCell ref="AL10:AL11"/>
    <mergeCell ref="AM10:AM11"/>
    <mergeCell ref="AN10:AN11"/>
    <mergeCell ref="AO10:AO11"/>
    <mergeCell ref="AN2:AN3"/>
    <mergeCell ref="AO2:AO3"/>
    <mergeCell ref="A4:A13"/>
    <mergeCell ref="B4:B5"/>
    <mergeCell ref="C4:C5"/>
    <mergeCell ref="AJ4:AJ5"/>
    <mergeCell ref="AK4:AK5"/>
    <mergeCell ref="AL4:AL5"/>
    <mergeCell ref="AM4:AM5"/>
    <mergeCell ref="AN4:AN5"/>
    <mergeCell ref="AO4:AO5"/>
    <mergeCell ref="B6:B7"/>
    <mergeCell ref="C6:C7"/>
    <mergeCell ref="AJ6:AJ7"/>
    <mergeCell ref="AK6:AK7"/>
    <mergeCell ref="AL6:AL7"/>
    <mergeCell ref="AM6:AM7"/>
    <mergeCell ref="AN6:AN7"/>
    <mergeCell ref="AO6:AO7"/>
    <mergeCell ref="B8:B9"/>
    <mergeCell ref="C8:C9"/>
    <mergeCell ref="AJ8:AJ9"/>
    <mergeCell ref="AK8:AK9"/>
    <mergeCell ref="AL8:AL9"/>
    <mergeCell ref="A1:C1"/>
    <mergeCell ref="D1:I1"/>
    <mergeCell ref="A2:A3"/>
    <mergeCell ref="B2:B3"/>
    <mergeCell ref="C2:C3"/>
    <mergeCell ref="AJ2:AJ3"/>
    <mergeCell ref="AK2:AK3"/>
    <mergeCell ref="AL2:AL3"/>
    <mergeCell ref="AM2:AM3"/>
  </mergeCells>
  <phoneticPr fontId="5" type="noConversion"/>
  <conditionalFormatting sqref="E4:E18">
    <cfRule type="expression" dxfId="121" priority="4">
      <formula>OR(WEEKDAY(E$3)=7,WEEKDAY(E$3)=1)</formula>
    </cfRule>
  </conditionalFormatting>
  <conditionalFormatting sqref="E20:E24">
    <cfRule type="expression" dxfId="120" priority="80">
      <formula>OR(WEEKDAY(E$3)=7,WEEKDAY(E$3)=1)</formula>
    </cfRule>
  </conditionalFormatting>
  <conditionalFormatting sqref="E26:E30">
    <cfRule type="expression" dxfId="119" priority="188">
      <formula>OR(WEEKDAY(E$3)=7,WEEKDAY(E$3)=1)</formula>
    </cfRule>
  </conditionalFormatting>
  <conditionalFormatting sqref="E32:E34">
    <cfRule type="expression" dxfId="118" priority="240">
      <formula>OR(WEEKDAY(E$3)=7,WEEKDAY(E$3)=1)</formula>
    </cfRule>
  </conditionalFormatting>
  <conditionalFormatting sqref="E36">
    <cfRule type="expression" dxfId="117" priority="5">
      <formula>OR(WEEKDAY(E$3)=7,WEEKDAY(E$3)=1)</formula>
    </cfRule>
  </conditionalFormatting>
  <conditionalFormatting sqref="E38:E39">
    <cfRule type="expression" dxfId="116" priority="8">
      <formula>OR(WEEKDAY(E$3)=7,WEEKDAY(E$3)=1)</formula>
    </cfRule>
  </conditionalFormatting>
  <conditionalFormatting sqref="E2:AI3">
    <cfRule type="expression" dxfId="115" priority="829">
      <formula>OR(WEEKDAY(E$3)=7,WEEKDAY(E$3)=1)</formula>
    </cfRule>
  </conditionalFormatting>
  <conditionalFormatting sqref="E3:AI3">
    <cfRule type="expression" dxfId="114" priority="610">
      <formula>WEEKDAY(E3)=7</formula>
    </cfRule>
    <cfRule type="expression" dxfId="113" priority="609">
      <formula>WEEKDAY(E3)=1</formula>
    </cfRule>
  </conditionalFormatting>
  <conditionalFormatting sqref="F4:F17">
    <cfRule type="expression" dxfId="112" priority="104">
      <formula>OR(WEEKDAY(F$3)=7,WEEKDAY(F$3)=1)</formula>
    </cfRule>
  </conditionalFormatting>
  <conditionalFormatting sqref="F20:F22">
    <cfRule type="expression" dxfId="111" priority="101">
      <formula>OR(WEEKDAY(F$3)=7,WEEKDAY(F$3)=1)</formula>
    </cfRule>
  </conditionalFormatting>
  <conditionalFormatting sqref="F24:F29">
    <cfRule type="expression" dxfId="110" priority="303">
      <formula>OR(WEEKDAY(F$3)=7,WEEKDAY(F$3)=1)</formula>
    </cfRule>
  </conditionalFormatting>
  <conditionalFormatting sqref="F32:F33">
    <cfRule type="expression" dxfId="109" priority="349">
      <formula>OR(WEEKDAY(F$3)=7,WEEKDAY(F$3)=1)</formula>
    </cfRule>
  </conditionalFormatting>
  <conditionalFormatting sqref="G4">
    <cfRule type="expression" dxfId="108" priority="414">
      <formula>OR(WEEKDAY(G$3)=7,WEEKDAY(G$3)=1)</formula>
    </cfRule>
  </conditionalFormatting>
  <conditionalFormatting sqref="G6">
    <cfRule type="expression" dxfId="107" priority="132">
      <formula>OR(WEEKDAY(G$3)=7,WEEKDAY(G$3)=1)</formula>
    </cfRule>
  </conditionalFormatting>
  <conditionalFormatting sqref="G8">
    <cfRule type="expression" dxfId="106" priority="131">
      <formula>OR(WEEKDAY(G$3)=7,WEEKDAY(G$3)=1)</formula>
    </cfRule>
  </conditionalFormatting>
  <conditionalFormatting sqref="G10">
    <cfRule type="expression" dxfId="105" priority="130">
      <formula>OR(WEEKDAY(G$3)=7,WEEKDAY(G$3)=1)</formula>
    </cfRule>
  </conditionalFormatting>
  <conditionalFormatting sqref="G12">
    <cfRule type="expression" dxfId="104" priority="129">
      <formula>OR(WEEKDAY(G$3)=7,WEEKDAY(G$3)=1)</formula>
    </cfRule>
  </conditionalFormatting>
  <conditionalFormatting sqref="G14">
    <cfRule type="expression" dxfId="103" priority="128">
      <formula>OR(WEEKDAY(G$3)=7,WEEKDAY(G$3)=1)</formula>
    </cfRule>
  </conditionalFormatting>
  <conditionalFormatting sqref="G16">
    <cfRule type="expression" dxfId="102" priority="127">
      <formula>OR(WEEKDAY(G$3)=7,WEEKDAY(G$3)=1)</formula>
    </cfRule>
  </conditionalFormatting>
  <conditionalFormatting sqref="G20">
    <cfRule type="expression" dxfId="101" priority="126">
      <formula>OR(WEEKDAY(G$3)=7,WEEKDAY(G$3)=1)</formula>
    </cfRule>
  </conditionalFormatting>
  <conditionalFormatting sqref="G22">
    <cfRule type="expression" dxfId="100" priority="125">
      <formula>OR(WEEKDAY(G$3)=7,WEEKDAY(G$3)=1)</formula>
    </cfRule>
  </conditionalFormatting>
  <conditionalFormatting sqref="G24">
    <cfRule type="expression" dxfId="99" priority="124">
      <formula>OR(WEEKDAY(G$3)=7,WEEKDAY(G$3)=1)</formula>
    </cfRule>
  </conditionalFormatting>
  <conditionalFormatting sqref="G26">
    <cfRule type="expression" dxfId="98" priority="123">
      <formula>OR(WEEKDAY(G$3)=7,WEEKDAY(G$3)=1)</formula>
    </cfRule>
  </conditionalFormatting>
  <conditionalFormatting sqref="G28">
    <cfRule type="expression" dxfId="97" priority="122">
      <formula>OR(WEEKDAY(G$3)=7,WEEKDAY(G$3)=1)</formula>
    </cfRule>
  </conditionalFormatting>
  <conditionalFormatting sqref="G30">
    <cfRule type="expression" dxfId="96" priority="121">
      <formula>OR(WEEKDAY(G$3)=7,WEEKDAY(G$3)=1)</formula>
    </cfRule>
  </conditionalFormatting>
  <conditionalFormatting sqref="G32">
    <cfRule type="expression" dxfId="95" priority="119">
      <formula>OR(WEEKDAY(G$3)=7,WEEKDAY(G$3)=1)</formula>
    </cfRule>
  </conditionalFormatting>
  <conditionalFormatting sqref="G34">
    <cfRule type="expression" dxfId="94" priority="118">
      <formula>OR(WEEKDAY(G$3)=7,WEEKDAY(G$3)=1)</formula>
    </cfRule>
  </conditionalFormatting>
  <conditionalFormatting sqref="G36">
    <cfRule type="expression" dxfId="93" priority="117">
      <formula>OR(WEEKDAY(G$3)=7,WEEKDAY(G$3)=1)</formula>
    </cfRule>
  </conditionalFormatting>
  <conditionalFormatting sqref="G38">
    <cfRule type="expression" dxfId="92" priority="116">
      <formula>OR(WEEKDAY(G$3)=7,WEEKDAY(G$3)=1)</formula>
    </cfRule>
  </conditionalFormatting>
  <conditionalFormatting sqref="N4:N10">
    <cfRule type="expression" dxfId="91" priority="84">
      <formula>OR(WEEKDAY(N$3)=7,WEEKDAY(N$3)=1)</formula>
    </cfRule>
  </conditionalFormatting>
  <conditionalFormatting sqref="N12:N16">
    <cfRule type="expression" dxfId="90" priority="78">
      <formula>OR(WEEKDAY(N$3)=7,WEEKDAY(N$3)=1)</formula>
    </cfRule>
  </conditionalFormatting>
  <conditionalFormatting sqref="N20:N22">
    <cfRule type="expression" dxfId="89" priority="100">
      <formula>OR(WEEKDAY(N$3)=7,WEEKDAY(N$3)=1)</formula>
    </cfRule>
  </conditionalFormatting>
  <conditionalFormatting sqref="N24:N28">
    <cfRule type="expression" dxfId="88" priority="313">
      <formula>OR(WEEKDAY(N$3)=7,WEEKDAY(N$3)=1)</formula>
    </cfRule>
  </conditionalFormatting>
  <conditionalFormatting sqref="N30:N35">
    <cfRule type="expression" dxfId="87" priority="200">
      <formula>OR(WEEKDAY(N$3)=7,WEEKDAY(N$3)=1)</formula>
    </cfRule>
  </conditionalFormatting>
  <conditionalFormatting sqref="N38:N39">
    <cfRule type="expression" dxfId="86" priority="352">
      <formula>OR(WEEKDAY(N$3)=7,WEEKDAY(N$3)=1)</formula>
    </cfRule>
  </conditionalFormatting>
  <conditionalFormatting sqref="O4:O17">
    <cfRule type="expression" dxfId="85" priority="185">
      <formula>OR(WEEKDAY(O$3)=7,WEEKDAY(O$3)=1)</formula>
    </cfRule>
  </conditionalFormatting>
  <conditionalFormatting sqref="O20:O39">
    <cfRule type="expression" dxfId="84" priority="173">
      <formula>OR(WEEKDAY(O$3)=7,WEEKDAY(O$3)=1)</formula>
    </cfRule>
  </conditionalFormatting>
  <conditionalFormatting sqref="P5:P17">
    <cfRule type="expression" dxfId="83" priority="184">
      <formula>OR(WEEKDAY(P$3)=7,WEEKDAY(P$3)=1)</formula>
    </cfRule>
  </conditionalFormatting>
  <conditionalFormatting sqref="P35:P39">
    <cfRule type="expression" dxfId="82" priority="174">
      <formula>OR(WEEKDAY(P$3)=7,WEEKDAY(P$3)=1)</formula>
    </cfRule>
  </conditionalFormatting>
  <conditionalFormatting sqref="P4:Q4">
    <cfRule type="expression" dxfId="81" priority="574">
      <formula>OR(WEEKDAY(P$3)=7,WEEKDAY(P$3)=1)</formula>
    </cfRule>
  </conditionalFormatting>
  <conditionalFormatting sqref="P20:Q34">
    <cfRule type="expression" dxfId="80" priority="172">
      <formula>OR(WEEKDAY(P$3)=7,WEEKDAY(P$3)=1)</formula>
    </cfRule>
  </conditionalFormatting>
  <conditionalFormatting sqref="Q5:Q19">
    <cfRule type="expression" dxfId="79" priority="24">
      <formula>OR(WEEKDAY(Q$3)=7,WEEKDAY(Q$3)=1)</formula>
    </cfRule>
  </conditionalFormatting>
  <conditionalFormatting sqref="Q35:Q38">
    <cfRule type="expression" dxfId="78" priority="260">
      <formula>OR(WEEKDAY(Q$3)=7,WEEKDAY(Q$3)=1)</formula>
    </cfRule>
  </conditionalFormatting>
  <conditionalFormatting sqref="R28:R30">
    <cfRule type="expression" dxfId="77" priority="266">
      <formula>OR(WEEKDAY(R$3)=7,WEEKDAY(R$3)=1)</formula>
    </cfRule>
  </conditionalFormatting>
  <conditionalFormatting sqref="R36:R39">
    <cfRule type="expression" dxfId="76" priority="7">
      <formula>OR(WEEKDAY(R$3)=7,WEEKDAY(R$3)=1)</formula>
    </cfRule>
  </conditionalFormatting>
  <conditionalFormatting sqref="R4:S27">
    <cfRule type="expression" dxfId="75" priority="19">
      <formula>OR(WEEKDAY(R$3)=7,WEEKDAY(R$3)=1)</formula>
    </cfRule>
  </conditionalFormatting>
  <conditionalFormatting sqref="R31:S35">
    <cfRule type="expression" dxfId="74" priority="638">
      <formula>OR(WEEKDAY(R$3)=7,WEEKDAY(R$3)=1)</formula>
    </cfRule>
  </conditionalFormatting>
  <conditionalFormatting sqref="S30">
    <cfRule type="expression" dxfId="73" priority="640">
      <formula>OR(WEEKDAY(S$3)=7,WEEKDAY(S$3)=1)</formula>
    </cfRule>
  </conditionalFormatting>
  <conditionalFormatting sqref="S38">
    <cfRule type="expression" dxfId="72" priority="637">
      <formula>OR(WEEKDAY(S$3)=7,WEEKDAY(S$3)=1)</formula>
    </cfRule>
  </conditionalFormatting>
  <conditionalFormatting sqref="T12:T14">
    <cfRule type="expression" dxfId="71" priority="91">
      <formula>OR(WEEKDAY(T$3)=7,WEEKDAY(T$3)=1)</formula>
    </cfRule>
  </conditionalFormatting>
  <conditionalFormatting sqref="T16:T35">
    <cfRule type="expression" dxfId="70" priority="17">
      <formula>OR(WEEKDAY(T$3)=7,WEEKDAY(T$3)=1)</formula>
    </cfRule>
  </conditionalFormatting>
  <conditionalFormatting sqref="T4:U10">
    <cfRule type="expression" dxfId="69" priority="82">
      <formula>OR(WEEKDAY(T$3)=7,WEEKDAY(T$3)=1)</formula>
    </cfRule>
  </conditionalFormatting>
  <conditionalFormatting sqref="T38:U39">
    <cfRule type="expression" dxfId="68" priority="12">
      <formula>OR(WEEKDAY(T$3)=7,WEEKDAY(T$3)=1)</formula>
    </cfRule>
  </conditionalFormatting>
  <conditionalFormatting sqref="U12:U16">
    <cfRule type="expression" dxfId="67" priority="447">
      <formula>OR(WEEKDAY(U$3)=7,WEEKDAY(U$3)=1)</formula>
    </cfRule>
  </conditionalFormatting>
  <conditionalFormatting sqref="U18:U30">
    <cfRule type="expression" dxfId="66" priority="20">
      <formula>OR(WEEKDAY(U$3)=7,WEEKDAY(U$3)=1)</formula>
    </cfRule>
  </conditionalFormatting>
  <conditionalFormatting sqref="U32:U35">
    <cfRule type="expression" dxfId="65" priority="230">
      <formula>OR(WEEKDAY(U$3)=7,WEEKDAY(U$3)=1)</formula>
    </cfRule>
  </conditionalFormatting>
  <conditionalFormatting sqref="V4:V39">
    <cfRule type="expression" dxfId="64" priority="46">
      <formula>OR(WEEKDAY(V$3)=7,WEEKDAY(V$3)=1)</formula>
    </cfRule>
  </conditionalFormatting>
  <conditionalFormatting sqref="W36:W39">
    <cfRule type="expression" dxfId="63" priority="518">
      <formula>OR(WEEKDAY(W$3)=7,WEEKDAY(W$3)=1)</formula>
    </cfRule>
  </conditionalFormatting>
  <conditionalFormatting sqref="W4:X35">
    <cfRule type="expression" dxfId="62" priority="15">
      <formula>OR(WEEKDAY(W$3)=7,WEEKDAY(W$3)=1)</formula>
    </cfRule>
  </conditionalFormatting>
  <conditionalFormatting sqref="X36:X38">
    <cfRule type="expression" dxfId="61" priority="6">
      <formula>OR(WEEKDAY(X$3)=7,WEEKDAY(X$3)=1)</formula>
    </cfRule>
  </conditionalFormatting>
  <conditionalFormatting sqref="Y20:Y21">
    <cfRule type="expression" dxfId="60" priority="657">
      <formula>OR(WEEKDAY(Y$3)=7,WEEKDAY(Y$3)=1)</formula>
    </cfRule>
  </conditionalFormatting>
  <conditionalFormatting sqref="Y26:Y34">
    <cfRule type="expression" dxfId="59" priority="242">
      <formula>OR(WEEKDAY(Y$3)=7,WEEKDAY(Y$3)=1)</formula>
    </cfRule>
  </conditionalFormatting>
  <conditionalFormatting sqref="Y36">
    <cfRule type="expression" dxfId="58" priority="139">
      <formula>OR(WEEKDAY(Y$3)=7,WEEKDAY(Y$3)=1)</formula>
    </cfRule>
  </conditionalFormatting>
  <conditionalFormatting sqref="Y38">
    <cfRule type="expression" dxfId="57" priority="138">
      <formula>OR(WEEKDAY(Y$3)=7,WEEKDAY(Y$3)=1)</formula>
    </cfRule>
  </conditionalFormatting>
  <conditionalFormatting sqref="Y8:Z14">
    <cfRule type="expression" dxfId="56" priority="3">
      <formula>OR(WEEKDAY(Y$3)=7,WEEKDAY(Y$3)=1)</formula>
    </cfRule>
  </conditionalFormatting>
  <conditionalFormatting sqref="Y22:Z25">
    <cfRule type="expression" dxfId="55" priority="589">
      <formula>OR(WEEKDAY(Y$3)=7,WEEKDAY(Y$3)=1)</formula>
    </cfRule>
  </conditionalFormatting>
  <conditionalFormatting sqref="Y4:AB4">
    <cfRule type="expression" dxfId="54" priority="148">
      <formula>OR(WEEKDAY(Y$3)=7,WEEKDAY(Y$3)=1)</formula>
    </cfRule>
  </conditionalFormatting>
  <conditionalFormatting sqref="Y6:AB6">
    <cfRule type="expression" dxfId="53" priority="144">
      <formula>OR(WEEKDAY(Y$3)=7,WEEKDAY(Y$3)=1)</formula>
    </cfRule>
  </conditionalFormatting>
  <conditionalFormatting sqref="Y16:AB18">
    <cfRule type="expression" dxfId="52" priority="36">
      <formula>OR(WEEKDAY(Y$3)=7,WEEKDAY(Y$3)=1)</formula>
    </cfRule>
  </conditionalFormatting>
  <conditionalFormatting sqref="Z20">
    <cfRule type="expression" dxfId="51" priority="133">
      <formula>OR(WEEKDAY(Z$3)=7,WEEKDAY(Z$3)=1)</formula>
    </cfRule>
  </conditionalFormatting>
  <conditionalFormatting sqref="Z26">
    <cfRule type="expression" dxfId="50" priority="141">
      <formula>OR(WEEKDAY(Z$3)=7,WEEKDAY(Z$3)=1)</formula>
    </cfRule>
  </conditionalFormatting>
  <conditionalFormatting sqref="Z28">
    <cfRule type="expression" dxfId="49" priority="140">
      <formula>OR(WEEKDAY(Z$3)=7,WEEKDAY(Z$3)=1)</formula>
    </cfRule>
  </conditionalFormatting>
  <conditionalFormatting sqref="Z30:Z32">
    <cfRule type="expression" dxfId="48" priority="14">
      <formula>OR(WEEKDAY(Z$3)=7,WEEKDAY(Z$3)=1)</formula>
    </cfRule>
  </conditionalFormatting>
  <conditionalFormatting sqref="Z34 Y35:Z35">
    <cfRule type="expression" dxfId="47" priority="632">
      <formula>OR(WEEKDAY(Y$3)=7,WEEKDAY(Y$3)=1)</formula>
    </cfRule>
  </conditionalFormatting>
  <conditionalFormatting sqref="Z36:Z39">
    <cfRule type="expression" dxfId="46" priority="1">
      <formula>OR(WEEKDAY(Z$3)=7,WEEKDAY(Z$3)=1)</formula>
    </cfRule>
  </conditionalFormatting>
  <conditionalFormatting sqref="AA8">
    <cfRule type="expression" dxfId="45" priority="152">
      <formula>OR(WEEKDAY(AA$3)=7,WEEKDAY(AA$3)=1)</formula>
    </cfRule>
  </conditionalFormatting>
  <conditionalFormatting sqref="AA10">
    <cfRule type="expression" dxfId="44" priority="143">
      <formula>OR(WEEKDAY(AA$3)=7,WEEKDAY(AA$3)=1)</formula>
    </cfRule>
  </conditionalFormatting>
  <conditionalFormatting sqref="AA12">
    <cfRule type="expression" dxfId="43" priority="153">
      <formula>OR(WEEKDAY(AA$3)=7,WEEKDAY(AA$3)=1)</formula>
    </cfRule>
  </conditionalFormatting>
  <conditionalFormatting sqref="AA14">
    <cfRule type="expression" dxfId="42" priority="155">
      <formula>OR(WEEKDAY(AA$3)=7,WEEKDAY(AA$3)=1)</formula>
    </cfRule>
  </conditionalFormatting>
  <conditionalFormatting sqref="AA20:AA27">
    <cfRule type="expression" dxfId="41" priority="204">
      <formula>OR(WEEKDAY(AA$3)=7,WEEKDAY(AA$3)=1)</formula>
    </cfRule>
  </conditionalFormatting>
  <conditionalFormatting sqref="AA30:AA36">
    <cfRule type="expression" dxfId="40" priority="199">
      <formula>OR(WEEKDAY(AA$3)=7,WEEKDAY(AA$3)=1)</formula>
    </cfRule>
  </conditionalFormatting>
  <conditionalFormatting sqref="AA38">
    <cfRule type="expression" dxfId="39" priority="13">
      <formula>OR(WEEKDAY(AA$3)=7,WEEKDAY(AA$3)=1)</formula>
    </cfRule>
  </conditionalFormatting>
  <conditionalFormatting sqref="AB8:AB10">
    <cfRule type="expression" dxfId="38" priority="142">
      <formula>OR(WEEKDAY(AB$3)=7,WEEKDAY(AB$3)=1)</formula>
    </cfRule>
  </conditionalFormatting>
  <conditionalFormatting sqref="AB12:AB14">
    <cfRule type="expression" dxfId="37" priority="154">
      <formula>OR(WEEKDAY(AB$3)=7,WEEKDAY(AB$3)=1)</formula>
    </cfRule>
  </conditionalFormatting>
  <conditionalFormatting sqref="AB20:AB23">
    <cfRule type="expression" dxfId="36" priority="490">
      <formula>OR(WEEKDAY(AB$3)=7,WEEKDAY(AB$3)=1)</formula>
    </cfRule>
  </conditionalFormatting>
  <conditionalFormatting sqref="AB25:AB27">
    <cfRule type="expression" dxfId="35" priority="115">
      <formula>OR(WEEKDAY(AB$3)=7,WEEKDAY(AB$3)=1)</formula>
    </cfRule>
  </conditionalFormatting>
  <conditionalFormatting sqref="AB30:AB38">
    <cfRule type="expression" dxfId="34" priority="9">
      <formula>OR(WEEKDAY(AB$3)=7,WEEKDAY(AB$3)=1)</formula>
    </cfRule>
  </conditionalFormatting>
  <conditionalFormatting sqref="AB24:AC24">
    <cfRule type="expression" dxfId="33" priority="598">
      <formula>OR(WEEKDAY(AB$3)=7,WEEKDAY(AB$3)=1)</formula>
    </cfRule>
  </conditionalFormatting>
  <conditionalFormatting sqref="AC4:AC23">
    <cfRule type="expression" dxfId="32" priority="48">
      <formula>OR(WEEKDAY(AC$3)=7,WEEKDAY(AC$3)=1)</formula>
    </cfRule>
  </conditionalFormatting>
  <conditionalFormatting sqref="AC25:AC26">
    <cfRule type="expression" dxfId="31" priority="169">
      <formula>OR(WEEKDAY(AC$3)=7,WEEKDAY(AC$3)=1)</formula>
    </cfRule>
  </conditionalFormatting>
  <conditionalFormatting sqref="AC28:AC39">
    <cfRule type="expression" dxfId="30" priority="167">
      <formula>OR(WEEKDAY(AC$3)=7,WEEKDAY(AC$3)=1)</formula>
    </cfRule>
  </conditionalFormatting>
  <conditionalFormatting sqref="AD35:AD39">
    <cfRule type="expression" dxfId="29" priority="166">
      <formula>OR(WEEKDAY(AD$3)=7,WEEKDAY(AD$3)=1)</formula>
    </cfRule>
  </conditionalFormatting>
  <conditionalFormatting sqref="AD4:AE25">
    <cfRule type="expression" dxfId="28" priority="21">
      <formula>OR(WEEKDAY(AD$3)=7,WEEKDAY(AD$3)=1)</formula>
    </cfRule>
  </conditionalFormatting>
  <conditionalFormatting sqref="AD28:AE34">
    <cfRule type="expression" dxfId="27" priority="168">
      <formula>OR(WEEKDAY(AD$3)=7,WEEKDAY(AD$3)=1)</formula>
    </cfRule>
  </conditionalFormatting>
  <conditionalFormatting sqref="AE35:AE37">
    <cfRule type="expression" dxfId="26" priority="514">
      <formula>OR(WEEKDAY(AE$3)=7,WEEKDAY(AE$3)=1)</formula>
    </cfRule>
  </conditionalFormatting>
  <conditionalFormatting sqref="AE39">
    <cfRule type="expression" dxfId="25" priority="255">
      <formula>OR(WEEKDAY(AE$3)=7,WEEKDAY(AE$3)=1)</formula>
    </cfRule>
  </conditionalFormatting>
  <conditionalFormatting sqref="AF4:AF5">
    <cfRule type="expression" dxfId="24" priority="102">
      <formula>OR(WEEKDAY(AF$3)=7,WEEKDAY(AF$3)=1)</formula>
    </cfRule>
  </conditionalFormatting>
  <conditionalFormatting sqref="AF14:AF19">
    <cfRule type="expression" dxfId="23" priority="31">
      <formula>OR(WEEKDAY(AF$3)=7,WEEKDAY(AF$3)=1)</formula>
    </cfRule>
  </conditionalFormatting>
  <conditionalFormatting sqref="AF21:AF25">
    <cfRule type="expression" dxfId="22" priority="272">
      <formula>OR(WEEKDAY(AF$3)=7,WEEKDAY(AF$3)=1)</formula>
    </cfRule>
  </conditionalFormatting>
  <conditionalFormatting sqref="AF28:AF30">
    <cfRule type="expression" dxfId="21" priority="244">
      <formula>OR(WEEKDAY(AF$3)=7,WEEKDAY(AF$3)=1)</formula>
    </cfRule>
  </conditionalFormatting>
  <conditionalFormatting sqref="AF32:AF39">
    <cfRule type="expression" dxfId="20" priority="98">
      <formula>OR(WEEKDAY(AF$3)=7,WEEKDAY(AF$3)=1)</formula>
    </cfRule>
  </conditionalFormatting>
  <conditionalFormatting sqref="AF6:AG10">
    <cfRule type="expression" dxfId="19" priority="489">
      <formula>OR(WEEKDAY(AF$3)=7,WEEKDAY(AF$3)=1)</formula>
    </cfRule>
  </conditionalFormatting>
  <conditionalFormatting sqref="AF12:AG13">
    <cfRule type="expression" dxfId="18" priority="675">
      <formula>OR(WEEKDAY(AF$3)=7,WEEKDAY(AF$3)=1)</formula>
    </cfRule>
  </conditionalFormatting>
  <conditionalFormatting sqref="AF20:AG20">
    <cfRule type="expression" dxfId="17" priority="651">
      <formula>OR(WEEKDAY(AF$3)=7,WEEKDAY(AF$3)=1)</formula>
    </cfRule>
  </conditionalFormatting>
  <conditionalFormatting sqref="AF31:AG31">
    <cfRule type="expression" dxfId="16" priority="627">
      <formula>OR(WEEKDAY(AF$3)=7,WEEKDAY(AF$3)=1)</formula>
    </cfRule>
  </conditionalFormatting>
  <conditionalFormatting sqref="AF11:AI11">
    <cfRule type="expression" dxfId="15" priority="77">
      <formula>OR(WEEKDAY(AF$3)=7,WEEKDAY(AF$3)=1)</formula>
    </cfRule>
  </conditionalFormatting>
  <conditionalFormatting sqref="AG16">
    <cfRule type="expression" dxfId="14" priority="88">
      <formula>OR(WEEKDAY(AG$3)=7,WEEKDAY(AG$3)=1)</formula>
    </cfRule>
  </conditionalFormatting>
  <conditionalFormatting sqref="AG18:AG19">
    <cfRule type="expression" dxfId="13" priority="32">
      <formula>OR(WEEKDAY(AG$3)=7,WEEKDAY(AG$3)=1)</formula>
    </cfRule>
  </conditionalFormatting>
  <conditionalFormatting sqref="AG21:AG24">
    <cfRule type="expression" dxfId="12" priority="211">
      <formula>OR(WEEKDAY(AG$3)=7,WEEKDAY(AG$3)=1)</formula>
    </cfRule>
  </conditionalFormatting>
  <conditionalFormatting sqref="AG32">
    <cfRule type="expression" dxfId="11" priority="509">
      <formula>OR(WEEKDAY(AG$3)=7,WEEKDAY(AG$3)=1)</formula>
    </cfRule>
  </conditionalFormatting>
  <conditionalFormatting sqref="AG34">
    <cfRule type="expression" dxfId="10" priority="329">
      <formula>OR(WEEKDAY(AG$3)=7,WEEKDAY(AG$3)=1)</formula>
    </cfRule>
  </conditionalFormatting>
  <conditionalFormatting sqref="AG36">
    <cfRule type="expression" dxfId="9" priority="189">
      <formula>OR(WEEKDAY(AG$3)=7,WEEKDAY(AG$3)=1)</formula>
    </cfRule>
  </conditionalFormatting>
  <conditionalFormatting sqref="AG30:AH30">
    <cfRule type="expression" dxfId="8" priority="87">
      <formula>OR(WEEKDAY(AG$3)=7,WEEKDAY(AG$3)=1)</formula>
    </cfRule>
  </conditionalFormatting>
  <conditionalFormatting sqref="AH6:AH7">
    <cfRule type="expression" dxfId="7" priority="480">
      <formula>OR(WEEKDAY(AH$3)=7,WEEKDAY(AH$3)=1)</formula>
    </cfRule>
  </conditionalFormatting>
  <conditionalFormatting sqref="AH4:AI5">
    <cfRule type="expression" dxfId="6" priority="473">
      <formula>OR(WEEKDAY(AH$3)=7,WEEKDAY(AH$3)=1)</formula>
    </cfRule>
  </conditionalFormatting>
  <conditionalFormatting sqref="AH8:AI10">
    <cfRule type="expression" dxfId="5" priority="86">
      <formula>OR(WEEKDAY(AH$3)=7,WEEKDAY(AH$3)=1)</formula>
    </cfRule>
  </conditionalFormatting>
  <conditionalFormatting sqref="AH12:AI25">
    <cfRule type="expression" dxfId="4" priority="16">
      <formula>OR(WEEKDAY(AH$3)=7,WEEKDAY(AH$3)=1)</formula>
    </cfRule>
  </conditionalFormatting>
  <conditionalFormatting sqref="AH28:AI29">
    <cfRule type="expression" dxfId="3" priority="290">
      <formula>OR(WEEKDAY(AH$3)=7,WEEKDAY(AH$3)=1)</formula>
    </cfRule>
  </conditionalFormatting>
  <conditionalFormatting sqref="AH32:AI37">
    <cfRule type="expression" dxfId="2" priority="374">
      <formula>OR(WEEKDAY(AH$3)=7,WEEKDAY(AH$3)=1)</formula>
    </cfRule>
  </conditionalFormatting>
  <conditionalFormatting sqref="AI6">
    <cfRule type="expression" dxfId="1" priority="94">
      <formula>OR(WEEKDAY(AI$3)=7,WEEKDAY(AI$3)=1)</formula>
    </cfRule>
  </conditionalFormatting>
  <conditionalFormatting sqref="AI30:AI31">
    <cfRule type="expression" dxfId="0" priority="377">
      <formula>OR(WEEKDAY(AI$3)=7,WEEKDAY(AI$3)=1)</formula>
    </cfRule>
  </conditionalFormatting>
  <pageMargins left="0.25" right="0.25" top="0.75" bottom="0.75" header="0.3" footer="0.3"/>
  <pageSetup paperSize="9" scale="49" fitToHeight="0" orientation="landscape" cellComments="asDisplaye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</vt:i4>
      </vt:variant>
    </vt:vector>
  </HeadingPairs>
  <TitlesOfParts>
    <vt:vector size="12" baseType="lpstr">
      <vt:lpstr>연차집계표-최종</vt:lpstr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'연차집계표-최종'!Print_Area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2024-1121</cp:lastModifiedBy>
  <cp:lastPrinted>2025-11-04T06:27:28Z</cp:lastPrinted>
  <dcterms:created xsi:type="dcterms:W3CDTF">2024-01-19T08:59:02Z</dcterms:created>
  <dcterms:modified xsi:type="dcterms:W3CDTF">2025-12-22T07:12:20Z</dcterms:modified>
</cp:coreProperties>
</file>